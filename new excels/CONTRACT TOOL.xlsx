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A173CFDB-2306-4423-B77C-C23E43B16368}" xr6:coauthVersionLast="36" xr6:coauthVersionMax="36" xr10:uidLastSave="{00000000-0000-0000-0000-000000000000}"/>
  <bookViews>
    <workbookView xWindow="240" yWindow="110" windowWidth="14810" windowHeight="8010" tabRatio="997" firstSheet="7" activeTab="8" xr2:uid="{00000000-000D-0000-FFFF-FFFF00000000}"/>
  </bookViews>
  <sheets>
    <sheet name="APPOINTMENT LETTER TEMPLATES" sheetId="1" r:id="rId1"/>
    <sheet name="CONTRACT RENEWAL " sheetId="2" r:id="rId2"/>
    <sheet name="SERVICE CONTRACT " sheetId="4" r:id="rId3"/>
    <sheet name="CONTRACT EXTENSION" sheetId="5" r:id="rId4"/>
    <sheet name="NOTICE OF CONTRACT COMPLETION" sheetId="6" r:id="rId5"/>
    <sheet name="LETTER OF UNDERTAKING " sheetId="3" r:id="rId6"/>
    <sheet name="LEAVE APPLICATION FORM" sheetId="7" r:id="rId7"/>
    <sheet name="LEAVE TRACKER " sheetId="8" r:id="rId8"/>
    <sheet name="TIME SHEET " sheetId="9" r:id="rId9"/>
  </sheets>
  <definedNames>
    <definedName name="_xlnm._FilterDatabase" localSheetId="0" hidden="1">'APPOINTMENT LETTER TEMPLATES'!$A$3:$T$3</definedName>
  </definedNames>
  <calcPr calcId="191029"/>
</workbook>
</file>

<file path=xl/calcChain.xml><?xml version="1.0" encoding="utf-8"?>
<calcChain xmlns="http://schemas.openxmlformats.org/spreadsheetml/2006/main">
  <c r="U28" i="8" l="1"/>
  <c r="W28" i="8" s="1"/>
  <c r="H28" i="8"/>
  <c r="V28" i="8" s="1"/>
  <c r="U27" i="8"/>
  <c r="H27" i="8"/>
  <c r="V27" i="8" s="1"/>
  <c r="U26" i="8"/>
  <c r="W26" i="8" s="1"/>
  <c r="H26" i="8"/>
  <c r="V26" i="8" s="1"/>
  <c r="U25" i="8"/>
  <c r="H25" i="8"/>
  <c r="V25" i="8" s="1"/>
  <c r="U24" i="8"/>
  <c r="W24" i="8" s="1"/>
  <c r="H24" i="8"/>
  <c r="V24" i="8" s="1"/>
  <c r="U23" i="8"/>
  <c r="H23" i="8"/>
  <c r="V23" i="8" s="1"/>
  <c r="U22" i="8"/>
  <c r="W22" i="8" s="1"/>
  <c r="H22" i="8"/>
  <c r="V22" i="8" s="1"/>
  <c r="U21" i="8"/>
  <c r="H21" i="8"/>
  <c r="V21" i="8" s="1"/>
  <c r="U20" i="8"/>
  <c r="W20" i="8" s="1"/>
  <c r="H20" i="8"/>
  <c r="V20" i="8" s="1"/>
  <c r="U19" i="8"/>
  <c r="H19" i="8"/>
  <c r="V19" i="8" s="1"/>
  <c r="U18" i="8"/>
  <c r="W18" i="8" s="1"/>
  <c r="H18" i="8"/>
  <c r="V18" i="8" s="1"/>
  <c r="U17" i="8"/>
  <c r="H17" i="8"/>
  <c r="V17" i="8" s="1"/>
  <c r="U16" i="8"/>
  <c r="W16" i="8" s="1"/>
  <c r="H16" i="8"/>
  <c r="V16" i="8" s="1"/>
  <c r="U15" i="8"/>
  <c r="H15" i="8"/>
  <c r="V15" i="8" s="1"/>
  <c r="U14" i="8"/>
  <c r="W14" i="8" s="1"/>
  <c r="H14" i="8"/>
  <c r="V14" i="8" s="1"/>
  <c r="U13" i="8"/>
  <c r="H13" i="8"/>
  <c r="V13" i="8" s="1"/>
  <c r="U12" i="8"/>
  <c r="W12" i="8" s="1"/>
  <c r="H12" i="8"/>
  <c r="V12" i="8" s="1"/>
  <c r="U11" i="8"/>
  <c r="H11" i="8"/>
  <c r="V11" i="8" s="1"/>
  <c r="U10" i="8"/>
  <c r="W10" i="8" s="1"/>
  <c r="H10" i="8"/>
  <c r="V10" i="8" s="1"/>
  <c r="U9" i="8"/>
  <c r="H9" i="8"/>
  <c r="V9" i="8" s="1"/>
  <c r="U8" i="8"/>
  <c r="W8" i="8" s="1"/>
  <c r="H8" i="8"/>
  <c r="V8" i="8" s="1"/>
  <c r="U7" i="8"/>
  <c r="H7" i="8"/>
  <c r="V7" i="8" s="1"/>
  <c r="U6" i="8"/>
  <c r="W6" i="8" s="1"/>
  <c r="H6" i="8"/>
  <c r="V6" i="8" s="1"/>
  <c r="U5" i="8"/>
  <c r="H5" i="8"/>
  <c r="V5" i="8" s="1"/>
  <c r="U4" i="8"/>
  <c r="W4" i="8" s="1"/>
  <c r="H4" i="8"/>
  <c r="V4" i="8" s="1"/>
  <c r="U3" i="8"/>
  <c r="H3" i="8"/>
  <c r="U2" i="8"/>
  <c r="W2" i="8" s="1"/>
  <c r="H2" i="8"/>
  <c r="V2" i="8" s="1"/>
  <c r="W9" i="8" l="1"/>
  <c r="W25" i="8"/>
  <c r="H29" i="8"/>
  <c r="W3" i="8"/>
  <c r="W11" i="8"/>
  <c r="W27" i="8"/>
  <c r="W5" i="8"/>
  <c r="W13" i="8"/>
  <c r="W19" i="8"/>
  <c r="W21" i="8"/>
  <c r="W17" i="8"/>
  <c r="W7" i="8"/>
  <c r="W15" i="8"/>
  <c r="W23" i="8"/>
  <c r="U29" i="8"/>
  <c r="W29" i="8" s="1"/>
  <c r="V3" i="8"/>
  <c r="V29" i="8" s="1"/>
</calcChain>
</file>

<file path=xl/sharedStrings.xml><?xml version="1.0" encoding="utf-8"?>
<sst xmlns="http://schemas.openxmlformats.org/spreadsheetml/2006/main" count="427" uniqueCount="276">
  <si>
    <t xml:space="preserve">APPOINTMENT DATE </t>
  </si>
  <si>
    <t xml:space="preserve">NAME OF STAFF </t>
  </si>
  <si>
    <t>POSITION</t>
  </si>
  <si>
    <t xml:space="preserve">EFFECTIVE DATE </t>
  </si>
  <si>
    <t xml:space="preserve">FROM </t>
  </si>
  <si>
    <t xml:space="preserve">TO </t>
  </si>
  <si>
    <t xml:space="preserve">CONTRACT DURATION </t>
  </si>
  <si>
    <t xml:space="preserve">SUPSDVISOR </t>
  </si>
  <si>
    <t>Gross Pay (SHS)</t>
  </si>
  <si>
    <t>Net Pay (SHS)</t>
  </si>
  <si>
    <t>Duty Station</t>
  </si>
  <si>
    <t>Salary Payment</t>
  </si>
  <si>
    <t>Governing Terms and Conditions</t>
  </si>
  <si>
    <t>Conditions Precedent &amp; Acknowledgement</t>
  </si>
  <si>
    <t>This offer is subject to satisfactory background and reference checks, including a Certificate of Good Conduct where applicable, in line with TPO’s Anti-Fraud and Prevention of Sexual Exploitation and Harassment (PSEAH) Policies.  You are required to comply with these policies and all applicable Ugandan laws; violations may lead to disciplinary action, including termination, following due process.</t>
  </si>
  <si>
    <t>Acceptance</t>
  </si>
  <si>
    <t>Executive Director</t>
  </si>
  <si>
    <t xml:space="preserve">
I accept / decline this offer (circle as applicable)
………………………………………………………………………………….. Date:…………………………………..
</t>
  </si>
  <si>
    <r>
      <t xml:space="preserve">The </t>
    </r>
    <r>
      <rPr>
        <b/>
        <sz val="14"/>
        <color theme="1"/>
        <rFont val="Times New Roman"/>
        <family val="1"/>
      </rPr>
      <t>Employment Contract</t>
    </r>
    <r>
      <rPr>
        <sz val="14"/>
        <color theme="1"/>
        <rFont val="Times New Roman"/>
        <family val="1"/>
      </rPr>
      <t xml:space="preserve"> issued alongside this letter, which sets out the particulars required under the law, including probation, job description, working hours, remuneration, benefits, leave entitlements, confidentiality, compliance obligations, termination procedures, notice periods, and funding-related provisions.    Please review the contract together with this letter.</t>
    </r>
  </si>
  <si>
    <t xml:space="preserve">
Yours faithfully,
………………………………………………………………………………….. Date…………………………………………
Peter Okwi
</t>
  </si>
  <si>
    <t xml:space="preserve">Please confirm your acceptance or rejection of this offer by circling and signing below within two weeks from the date of this letter.      </t>
  </si>
  <si>
    <t>EMPLOYEE</t>
  </si>
  <si>
    <r>
      <t xml:space="preserve">TPO Uganda’s </t>
    </r>
    <r>
      <rPr>
        <b/>
        <sz val="11.5"/>
        <color theme="1"/>
        <rFont val="Times New Roman"/>
        <family val="1"/>
      </rPr>
      <t>People &amp; Culture Management Manual (2025)</t>
    </r>
    <r>
      <rPr>
        <sz val="11.5"/>
        <color theme="1"/>
        <rFont val="Times New Roman"/>
        <family val="1"/>
      </rPr>
      <t xml:space="preserve"> and associated policies; </t>
    </r>
  </si>
  <si>
    <t>SIGN OFF</t>
  </si>
  <si>
    <t>The Employment Act, 2006 (Uganda);</t>
  </si>
  <si>
    <t>TPO Uganda’s People &amp; Culture Management Manual (2025) and associated policies; and</t>
  </si>
  <si>
    <t>TO</t>
  </si>
  <si>
    <t xml:space="preserve">END OF CONTRACT DATE </t>
  </si>
  <si>
    <t>EFFECTIVE DATE</t>
  </si>
  <si>
    <t xml:space="preserve">END OF CONTRACT DATE  </t>
  </si>
  <si>
    <t xml:space="preserve">RENEWAL DATE </t>
  </si>
  <si>
    <t xml:space="preserve">END OF CONTRACT NOTICE DATE </t>
  </si>
  <si>
    <t xml:space="preserve">LETTER OF UNDERTAKING </t>
  </si>
  <si>
    <t xml:space="preserve">Attn To:    </t>
  </si>
  <si>
    <t xml:space="preserve">UNDERTAKING DATE </t>
  </si>
  <si>
    <t xml:space="preserve">ACCOUNT NUMBER </t>
  </si>
  <si>
    <t xml:space="preserve">BANK NAME </t>
  </si>
  <si>
    <t>SWIFT LOAN</t>
  </si>
  <si>
    <t>MONTHLY INSTALMENT (Shs)</t>
  </si>
  <si>
    <t xml:space="preserve">DATE OF FIRST APPOINTMENT </t>
  </si>
  <si>
    <t xml:space="preserve">People and Culture Manager </t>
  </si>
  <si>
    <t xml:space="preserve">Sign (Employer):  ………………..…
Name: Mr. Peter Okwi ,
Mob No +256 782 188 370
</t>
  </si>
  <si>
    <t xml:space="preserve">   
Sign (Employer):  ………………..…
Name: Ms. Achola Mary 
Mob No +256 774643424
</t>
  </si>
  <si>
    <t>DESIGNATION</t>
  </si>
  <si>
    <t xml:space="preserve">   
Sign (Employee):  ………………..………..
Name: Ms/Mr…………...
Mob No ………………...
</t>
  </si>
  <si>
    <t xml:space="preserve">THE MANAGER </t>
  </si>
  <si>
    <t>REPAYABL OVER (IN MONTHS)</t>
  </si>
  <si>
    <t xml:space="preserve">BORROWER:    </t>
  </si>
  <si>
    <t>UNDERTAKING :</t>
  </si>
  <si>
    <t>MONTHLY SALARY (Shs)</t>
  </si>
  <si>
    <t>NET MONTHLY SALARY (Shs)</t>
  </si>
  <si>
    <t>PAYE (Shs)</t>
  </si>
  <si>
    <t>4% Provident Fund (Shs)</t>
  </si>
  <si>
    <t>5% NSSF (Shs)</t>
  </si>
  <si>
    <t xml:space="preserve">SERVICE CONTRACT </t>
  </si>
  <si>
    <t xml:space="preserve">CONTRACT RENEWAL </t>
  </si>
  <si>
    <t>APPOINTMENT LETTER</t>
  </si>
  <si>
    <t xml:space="preserve">CONTRACTION DATE </t>
  </si>
  <si>
    <t xml:space="preserve">CONTRACTOR </t>
  </si>
  <si>
    <t xml:space="preserve">SERVICE PROVIDER </t>
  </si>
  <si>
    <t xml:space="preserve">PROJECT </t>
  </si>
  <si>
    <t xml:space="preserve">STATUS OF THE SUBSCRIBER </t>
  </si>
  <si>
    <t>NATURE OF SERVICES</t>
  </si>
  <si>
    <t xml:space="preserve">The contracted  will be considered as an independent practitioner. He/she shall not be in any way/respect as being a staff member of TPO Uganda.
Please note that this offer of contract is made to you with the understanding that you do not have a history of fraud and sexual offences. In accordance with the TPO Uganda’s Anti-Fraud and Prevention of Sexual Harassment, Exploitation and Abuse Policies 2021, you are expected to abide and comply with the terms and conditions therein at all times. Any violation of this and other policies is highly punishable as per guidelines indicated in the various policies and laws of Uganda.
</t>
  </si>
  <si>
    <t xml:space="preserve"> The contracted  shall perform the services described in the duties scheduled below. TPO will avail all the relevant information and documents considered important for this assignment including personnel, all relevant publications, reports, photos and other information as may be required for this task.
You will report and account to the finance &amp; Administration Officer.
</t>
  </si>
  <si>
    <t>DUTIES AND RESPONSIBILITIES</t>
  </si>
  <si>
    <t>CONTRACT FEE</t>
  </si>
  <si>
    <t>SUBJECTION TO 6% WHT</t>
  </si>
  <si>
    <t xml:space="preserve">GOVERNING LAW </t>
  </si>
  <si>
    <t xml:space="preserve">This contract, including any disputes related thereto shall be governed by the laws of Uganda. TPO Uganda is subject to Uganda laws. Any claims arising out of performance of this contract that is related to any decision of the government must be resolved in accordance with Uganda laws. 
The following procedures shall govern the resolution of any disputes, controversy or claims between or among the parties arising out of interpretation, performance, breach or alleged breach of contract.
 Negotiation. The parties shall promptly attempt to resolve any disputes by negotiation in the normal course of business. If after good faith efforts the dispute is not resolved, either party may request in writing that the dispute be resolved via executive consultation.
 Executive consultation. For disputes submitted for executive consultation each party shall designate a person in position of authority and responsibility.
 Arbitration. Any controversy or claim between the party arising out of or relating to this contract, or breach thereof that has been resolved by executive consultation shall be settled by arbitration administered an approved legal representative.
The contracted shall diligently proceed with the performance of work pending final resolution.
</t>
  </si>
  <si>
    <t>DUTY STATION</t>
  </si>
  <si>
    <t xml:space="preserve">Signed on behalf of TPO Uganda
Signature………………………………………Date: ………………………..
Peter Okwi
………………………………………………………………………………….. Date…………………………………………
Peter Okwi
</t>
  </si>
  <si>
    <t xml:space="preserve">I have read and understood and hereby agree to the terms and conditions herein
Name: ……………………………………………………………….
Signed……………………………………. …Date: ………………………
Signed on behalf of TPO Uganda
………………………………………………………………………………….. Date:…………………………………..
</t>
  </si>
  <si>
    <t>WITNESSED BY</t>
  </si>
  <si>
    <t xml:space="preserve">Name: ……………………………………………………………….
Signed……………………………………. …Date: ………………………
</t>
  </si>
  <si>
    <t>This will be paid at the end of the month</t>
  </si>
  <si>
    <t>PAYEMENT</t>
  </si>
  <si>
    <t>EXECUTIVE  DIRECTOR</t>
  </si>
  <si>
    <t>THROUGH MOBILE MONEY</t>
  </si>
  <si>
    <t>CONTRACT EXTENSION</t>
  </si>
  <si>
    <t xml:space="preserve">EXETENSION DATE </t>
  </si>
  <si>
    <t xml:space="preserve">EXPIRY DATE </t>
  </si>
  <si>
    <t>CONTRACTED DATE</t>
  </si>
  <si>
    <t>CONTRACT EXTENDED</t>
  </si>
  <si>
    <t>CONTRACT EXPIRED</t>
  </si>
  <si>
    <t>SUBJECTION</t>
  </si>
  <si>
    <t xml:space="preserve">• Your continued satisfactory performance 
• Availability of project funding and/or donor approval. 
• Continued compliance with TPO Uganda policies, procedures, safeguarding standards, and the Code of Conduct. 
</t>
  </si>
  <si>
    <t xml:space="preserve">Peter Okwi, </t>
  </si>
  <si>
    <t xml:space="preserve"> DATE </t>
  </si>
  <si>
    <t xml:space="preserve">NOTICE </t>
  </si>
  <si>
    <t xml:space="preserve">On behalf of TPO Uganda, I wish to express our appreciation for your dedicated service over the past years. Your professionalism, integrity, and commitment have significantly contributed to our mission and the wellbeing of the communities we serve.
We take this opportunity to formally acknowledge the completion of your contract in accordance with Clause 3 of your employment contract and Section 6.7.1 of the People and Culture Management Manual. This process is in accordance with the Employment Act Cap 226 and internal policies.
To ensure a smooth transition and proper closure of responsibilities, and in line with Sections 6.7.4 and 6.7.5 of the Manual, we kindly request that you complete all exit and handover processes prior to your departure (and with guidance from your supervisor). These include: 
a) Submission of all handover documentation and project files.
b) Clearance of any outstanding liabilities.
c) Return of all organizational property (e.g., ID card, laptop, manuals, etc.). 
d) Completion of the TPO Uganda exit interview and clearance form.  
Your final payment and Certificate of Service will be processed within 30 calendar days from the date of contract expiry, subject to completion of the clearance process.
We thank you once again for your years of service and dedication. You leave behind a legacy of restoring hope and transforming lives that will be remembered. 
Should future opportunities arise, you are welcome to apply through our recruitment process, where your experience will be valued. In case you have any questions regarding the exit process, please contact the HR Manager or the undersigned. 
Please accept our best wishes for continued success in your future endeavors.
</t>
  </si>
  <si>
    <t>NOTICE OF CONTRACT COMPLETION</t>
  </si>
  <si>
    <t xml:space="preserve">NOTICE PERIOD </t>
  </si>
  <si>
    <t xml:space="preserve">EXECUTIVE DIRECTOR </t>
  </si>
  <si>
    <t>NAME OF EMPLOYEE</t>
  </si>
  <si>
    <t xml:space="preserve">EMPLOYEE ID NO </t>
  </si>
  <si>
    <t xml:space="preserve">DESIGNATION/TITLE </t>
  </si>
  <si>
    <t xml:space="preserve">DATE OF APPOINTMENT </t>
  </si>
  <si>
    <t xml:space="preserve">DATE WHEN YOU LAST TOOK LEAVE </t>
  </si>
  <si>
    <t xml:space="preserve">TYPE OF LEAVE LAST TAKEN </t>
  </si>
  <si>
    <t xml:space="preserve">LEAVE ADDRESS </t>
  </si>
  <si>
    <t xml:space="preserve">PHONE CONTACT </t>
  </si>
  <si>
    <t xml:space="preserve">EMPLOYEE'S SIGNATURE </t>
  </si>
  <si>
    <t xml:space="preserve">DATE </t>
  </si>
  <si>
    <t xml:space="preserve">NO  OF DAYS TO BE TAKEN </t>
  </si>
  <si>
    <t xml:space="preserve">RETURN DATE </t>
  </si>
  <si>
    <t xml:space="preserve">DELEGATED OFFICERS NAME </t>
  </si>
  <si>
    <t>TITLE</t>
  </si>
  <si>
    <t xml:space="preserve">CONTACT </t>
  </si>
  <si>
    <t xml:space="preserve">NO OF DAYS ENTITLED TO </t>
  </si>
  <si>
    <t xml:space="preserve">NO OF DAYS ALREADY TAKEN </t>
  </si>
  <si>
    <t xml:space="preserve">NO OF DAYS REQUESTED </t>
  </si>
  <si>
    <t>BALANCE TO DATE</t>
  </si>
  <si>
    <t xml:space="preserve">CONFIRMED BY </t>
  </si>
  <si>
    <t xml:space="preserve">REASON FOR NOT TAKING ENTITLED LEAVES </t>
  </si>
  <si>
    <t xml:space="preserve">APPROVED/ REJECTED BY </t>
  </si>
  <si>
    <t xml:space="preserve">SUPERVISOR’S COMMENT …………………………………………….
NAME …………………………………………………
SIGNATURE ……………………………………….
DATE………………………………………….
</t>
  </si>
  <si>
    <t>REQUESTION TO CARRY FORWARD LEAVE DAYS (ONLY IF APPLICABLE)</t>
  </si>
  <si>
    <t xml:space="preserve">COMPUTATION OF LEAVE </t>
  </si>
  <si>
    <t>ANNUAL LEAVE , STUDY LEAVE , COMPASSIONATE LEAVE , MATERNITY LEAVE , PATERNITY LEAVE , ANY OTHER ( SPECIFY )</t>
  </si>
  <si>
    <t xml:space="preserve">LEAVE APPLICATION </t>
  </si>
  <si>
    <t>GENERAL INFORMATION</t>
  </si>
  <si>
    <t>SN</t>
  </si>
  <si>
    <t>Staff ID N.O</t>
  </si>
  <si>
    <t>STAFF NAME</t>
  </si>
  <si>
    <t xml:space="preserve"> Project</t>
  </si>
  <si>
    <t>Location</t>
  </si>
  <si>
    <t>Gender</t>
  </si>
  <si>
    <t>January</t>
  </si>
  <si>
    <t>February</t>
  </si>
  <si>
    <t>March</t>
  </si>
  <si>
    <t>April</t>
  </si>
  <si>
    <t>May</t>
  </si>
  <si>
    <t>June</t>
  </si>
  <si>
    <t>July</t>
  </si>
  <si>
    <t>August</t>
  </si>
  <si>
    <t>September</t>
  </si>
  <si>
    <t>October</t>
  </si>
  <si>
    <t>November</t>
  </si>
  <si>
    <t>December</t>
  </si>
  <si>
    <t>Current A/L  Balance</t>
  </si>
  <si>
    <t>Leave Performance in Percentage (%)</t>
  </si>
  <si>
    <t>Leave risk</t>
  </si>
  <si>
    <t>HR Recommendation /Remarks</t>
  </si>
  <si>
    <t>TPO/167</t>
  </si>
  <si>
    <t>OLIVIER IRAKOZE</t>
  </si>
  <si>
    <t>REGIONAL PROJECT COORDINATOR</t>
  </si>
  <si>
    <t>UNHCR</t>
  </si>
  <si>
    <t>IKAFE</t>
  </si>
  <si>
    <t>M</t>
  </si>
  <si>
    <t>TPO/203</t>
  </si>
  <si>
    <t>BAKIWANYA GEORGE</t>
  </si>
  <si>
    <t>ACCOUNTANT</t>
  </si>
  <si>
    <t>TPO/200</t>
  </si>
  <si>
    <t>GEORGE WILLIAM SEBAKKA</t>
  </si>
  <si>
    <t>CLINICAL PSYCHOLOGIST</t>
  </si>
  <si>
    <t>RHINO</t>
  </si>
  <si>
    <t>TPO/199</t>
  </si>
  <si>
    <t>KAWOOZO MOREEN</t>
  </si>
  <si>
    <t>PSYCHIATRIC CLINICAL OFFICER</t>
  </si>
  <si>
    <t>F</t>
  </si>
  <si>
    <t>TPO/205</t>
  </si>
  <si>
    <t>KAFUMBE ABUS</t>
  </si>
  <si>
    <t>IMVEPI</t>
  </si>
  <si>
    <t>TPO/214</t>
  </si>
  <si>
    <t>AROMORACH PROSCOVIA</t>
  </si>
  <si>
    <t>TPO/201</t>
  </si>
  <si>
    <t>NAMANGO SERI</t>
  </si>
  <si>
    <t>LOBULE</t>
  </si>
  <si>
    <t>TPO/226</t>
  </si>
  <si>
    <t>OMOYA RICHARD</t>
  </si>
  <si>
    <t>SOCIAL WORKER</t>
  </si>
  <si>
    <t>TPO/209</t>
  </si>
  <si>
    <t>OJWOK ROBINSON</t>
  </si>
  <si>
    <t>TPO/218</t>
  </si>
  <si>
    <t>OCHAN BEN ORYEM</t>
  </si>
  <si>
    <t>TPO/213</t>
  </si>
  <si>
    <t>MUNGUTYE DICKENS</t>
  </si>
  <si>
    <t>DRIVER</t>
  </si>
  <si>
    <t>TPO/219</t>
  </si>
  <si>
    <t>ALINAITWE JUSTINE</t>
  </si>
  <si>
    <t>TPO/204</t>
  </si>
  <si>
    <t>KALI BERNARD</t>
  </si>
  <si>
    <t>TPO/220</t>
  </si>
  <si>
    <t>AFEMA WILLY</t>
  </si>
  <si>
    <t>TPO/221</t>
  </si>
  <si>
    <t>MUNGURIEK EMMANUEL</t>
  </si>
  <si>
    <t>TPO/195</t>
  </si>
  <si>
    <t>ISABIRYE ALLAN ANDREW</t>
  </si>
  <si>
    <t>TPO/197</t>
  </si>
  <si>
    <t>MUJA NANCY</t>
  </si>
  <si>
    <t>TPO/223</t>
  </si>
  <si>
    <t>LWAKUNDHU JOSEPH</t>
  </si>
  <si>
    <t>TPO/196</t>
  </si>
  <si>
    <t>JAMILA NAFUSI</t>
  </si>
  <si>
    <t>TPO/193</t>
  </si>
  <si>
    <t>OPITO GEORGE</t>
  </si>
  <si>
    <t>TPO/194</t>
  </si>
  <si>
    <t>TADEO SSALI</t>
  </si>
  <si>
    <t>TPO/222</t>
  </si>
  <si>
    <t>AZIKU SIMON</t>
  </si>
  <si>
    <t>TPO/202</t>
  </si>
  <si>
    <t>ANGUZU DERICK</t>
  </si>
  <si>
    <t>PROCUREMENT&amp;LOGISTICS OFFICER</t>
  </si>
  <si>
    <t>ARIKU PHILLIP COSMAS</t>
  </si>
  <si>
    <t>MEAL OFFICER</t>
  </si>
  <si>
    <t>TPO</t>
  </si>
  <si>
    <t>HAWA NANTEZA</t>
  </si>
  <si>
    <t xml:space="preserve">TPO </t>
  </si>
  <si>
    <t>SAFINA YUSUF</t>
  </si>
  <si>
    <t>ARUA</t>
  </si>
  <si>
    <t>GENEVIVE MASUDIO</t>
  </si>
  <si>
    <t>Leave entitlement</t>
  </si>
  <si>
    <t>Total leave days taken</t>
  </si>
  <si>
    <t xml:space="preserve">EMPLOYEE NAME </t>
  </si>
  <si>
    <t xml:space="preserve">SUPERVISOR </t>
  </si>
  <si>
    <t xml:space="preserve">TITLE </t>
  </si>
  <si>
    <t xml:space="preserve">LOCATION </t>
  </si>
  <si>
    <t xml:space="preserve">MONTH </t>
  </si>
  <si>
    <t xml:space="preserve">DAILY HOURS </t>
  </si>
  <si>
    <t xml:space="preserve">CUMULATIVE TIME </t>
  </si>
  <si>
    <t xml:space="preserve">PROJECT NAME </t>
  </si>
  <si>
    <t xml:space="preserve">TOTAL HOURS </t>
  </si>
  <si>
    <t>WORKING HOURS &amp; ALLOCATION</t>
  </si>
  <si>
    <t xml:space="preserve">TOTAL WORKING HOURS </t>
  </si>
  <si>
    <t>AUTHORISED ABSENCE FROM DUTY ( INSERT 8 HRS FOR EACH DAY OF ABSENCE)</t>
  </si>
  <si>
    <t xml:space="preserve">SICK LEAVE </t>
  </si>
  <si>
    <t>ANNUAL LEAVE</t>
  </si>
  <si>
    <t>PUBLIC HOLIDAY</t>
  </si>
  <si>
    <t xml:space="preserve">PATERNITY /MATERNITY LEAVE </t>
  </si>
  <si>
    <t xml:space="preserve">STUDY LEAVE </t>
  </si>
  <si>
    <t xml:space="preserve">COMPASSIONATE LEAVE </t>
  </si>
  <si>
    <t>OTHER DAYS OFF</t>
  </si>
  <si>
    <t xml:space="preserve">TOTAL </t>
  </si>
  <si>
    <t>TOTAL HOURS</t>
  </si>
  <si>
    <t>CORRECT</t>
  </si>
  <si>
    <t xml:space="preserve">EMPLOYEE SIGNTURE </t>
  </si>
  <si>
    <t xml:space="preserve">CARE GIVERS </t>
  </si>
  <si>
    <t xml:space="preserve">CLINICAL INTERN </t>
  </si>
  <si>
    <t>COOK</t>
  </si>
  <si>
    <t xml:space="preserve">OFFICE CLEANER </t>
  </si>
  <si>
    <t>PATRON</t>
  </si>
  <si>
    <t xml:space="preserve">PROJECT COORDINATORS </t>
  </si>
  <si>
    <t xml:space="preserve">SECURITY GUARD </t>
  </si>
  <si>
    <t>VPA</t>
  </si>
  <si>
    <t xml:space="preserve"> Identify the specific needs, interests, and developmental levels of the learners
 Collaborate with school enrollees to understand the context and objectives of the remedial class.
 Develop a tailored content plan that aligns with the learners’ age group and educational goals.
 Prepare engaging content to fit the remedial lessons to the learners.
 Incorporate stories, real-life examples, and interactive activities to inspire the learners.
 Coordinate with school enrollees to schedule the sessions.
 Arrange necessary materials and other resources to support the learners’ training.
 Determine the number of sessions, duration, and format (e.g., individual talks, group sessions, workshops).
 Conduct the sessions in a manner that is engaging, respectful, and inclusive.
 Adapt delivery style based on the learners’ responses and engagement levels.
 Gather feedback from the school enrollees learners during the post-session to assess impact.
 Document observations and suggestions for improvement.
 Provide reports on the outcomes and recommendations for future sessions.
 Offer additional resources or mentorship opportunities if applicable.
 Encourage school enrollee learners to set personal goals inspired during the remedial classes.
 Support ongoing motivation and positive behavioural change.
</t>
  </si>
  <si>
    <t xml:space="preserve">Emotional &amp; Psychological Support 
 Providing Counselling and emotional support to individuals facing distress, trauma or crisis.
 Helping beneficiaries cope with stress, grief and mental health challenges 
 Conducting one on one or group therapy sessions under supervision.
Community Engagement &amp; Awareness 
 Conducting sensitization and awareness campaigns on mental health, child protection, gender base violence.
 Facilitating discussions and community dialogues on social and psychological well-being.
 Promoting positive coping mechanisms and resilience strategies.
Case Management &amp; Referrals 
 Identifying and assessing individuals in need of psychological support.
 Linking clients to appropriate servicers such as mental health professionals, legal aid, and social welfare services.
 Following up on cases to ensure continuous support and progress.
Support for Vulnerable Groups 
 Working with all survivors of gender- based violence, refugees, [persons with disabilities, and other vulnerable populations 
 Organizing recreational and therapeutic activities for children and affected individuals.
Reporting &amp; Documentation 
 Keeping records of sessions, cases and interventions.
 Writing reports on challenges, successes and recommendations for program improvement.
Collaboration &amp; Advocacy
 Coordinating with health workers, social workers and NGOs to enhance service delivery.
 Advocating for mental health awareness and policy changes to improve psychosocial support systems.
</t>
  </si>
  <si>
    <t xml:space="preserve"> Prepare and cook nutritious meals for children according to the approved feeding schedule/menu.
 Ensure food is well cooked, safe, and suitable for young children.
 Record daily information on meals prepared, including Type of food cooked, Quantity of food prepared, Number of children served
 Provide this information to the caregivers/center staff for weekly reporting.
 Work with caregivers to ensure accurate tracking of the number of children who eat each day.
 Share daily feeding data to support weekly programme reports.
 Maintain high standards of hygiene during food preparation and serving.
 Ensure cooking utensils, kitchen areas, and food storage spaces are clean and safe.
 Ensure clean and safe drinking water is available for children during meal times.
 Clean the cooking area, utensils, and food preparation surfaces before and after cooking.
 Properly dispose of waste to maintain a healthy environment.
 Use food supplies responsibly and avoid wastage.
 Ensure proper handling of food to prevent contamination.
 Communicate daily with caregivers regarding meals prepared and number of children served.
 Report any food preparation or hygiene concerns.
 Ensure food preparation and serving processes are safe for children.
 Follow the center’s child protection and safety guidelines.
</t>
  </si>
  <si>
    <t xml:space="preserve"> You will be responsible for ensuring the efficient operation of an office by providing administrative support, maintaining records, organizing the workspace, and assisting with various tasks as needed.
 Providing administrative support to ensure the good hygiene of the office.
 Sweeping, mopping, and vacuuming floors.
 Dusting and wiping desks, chairs, shelves, and office equipment.
 Cleaning windows, doors, and glass surfaces.
 Emptying waste bins and replacing bin liners.
 Replenishing toiletries (soap, tissue, hand towels).
 Ensuring washrooms are hygienic and well-maintained at all times.
 Cleaning kitchen surfaces, sinks, and appliances.
 Washing cups and utensils where required.
 Proper disposal of general and recyclable waste.
 Reporting hazardous waste or unsafe conditions.
 Using cleaning chemicals safely and appropriately.
 Following workplace health and safety standards.
 Reporting damages, breakages, or maintenance issues.
 Monitoring cleaning supplies.
 Informing administration when supplies are running low.
 Setting up meeting rooms.
 Assisting with basic office errands if required.
</t>
  </si>
  <si>
    <t xml:space="preserve"> Participate on creating accessible and inclusive environments for learners in primary four to primary six to be retained in schools.
 Participate in school kitchen gardening, debates, games interventions, gender and conflict sensitivity, child safeguarding, disability inclusion, mental and psychosocial support.
 Support in systems like parents, schools, local leadership, like-minded actors that will be strategically engaged to support this target group of participants to re-enroll, stay in school, and transition to the next level.
 Participate in raising awareness to challenge the perception that adolescents especially girls are an economic burden and empower them to combat the negative consequences of poverty and oppressive cultural practices.
 Refer clients and act as linkages in the community and TPO Uganda.
 Provide referral of beneficiaries to other health providers and other TPO Uganda services.
 Participate in TPO Uganda review meeting with SMCS and PTA meeting including meetings for parenting clubs.
 Attend all the Bonga in school session and actively participate in the BELIEF activity from your school.
 Compile weekly and monthly activity reports and submit to the TPO Uganda Education project officer.
 Report directly to the Education project officer and shall respect all the TPO Uganda administrative structures set up in the field office.
</t>
  </si>
  <si>
    <t xml:space="preserve"> You will be responsible for the provision of a comprehensive range of
security services in this location as a security guard. It will entirely be your
responsibility to ensure safety and security of the office Assets, personnel
and its premises within your time of duty.
 Monitor property entrance including checking staff and visitors' bags for
firearms and any dangerous property as well as ensuring that organization's
property isn't stolen.
 Authorize the entrance of people and vehicles and ensure that staff or
persons who have been prohibited from accessing office premises do not
violate this protocol as well as allocate visitors' packing space.
 Report any suspicious behaviors and happenings to your supervisor or
nearby police station and file a report on these incidents.
 Secure all exits, doors, and windows and ensure that lights are out in offices
except for security lights as well as all office doors and other entry points.
 Respond to alarms and react in a timely manner as well as operating the
fire extinguisher in case of fire emergencies.
 Help people in need, especially visitors, at the reception area, as they await
to be taken to the respective people they are to meet.
 Perform first aid or CPR on staff or visitors in case of emergencies at the
workplace.
 Any other duties as assigned by the supervisor.
</t>
  </si>
  <si>
    <t xml:space="preserve"> Participate in facilitating the Journey of Life (JoL) sessions.
 Participate in the monthly meeting with the Groups.
 The Volunteer Psychosocial Assistant will be responsible for translation and relaying information to the beneficiaries agreed by TPO staff.
 The Volunteer Psychosocial Assistant will be responsible to justify the absence of beneficiaries in their geographical zone of responsibility and he/she will not be paid for the absent days.
 Provide basic counselling and psychosocial support to the beneficiary. 
 The Volunteer Psychosocial Assistant will develop close relationship with the company they are serving, the youth and the refugee leaders through strong skills in communication (face-to face and group discussion) respect and community participation.
 The Volunteer Psychosocial Assistant is the link between TPO and the beneficiary, thus needs to communicate all the times’ relevant information to TPO and vice-versa.
 Provide home visit/follow up and referral of the beneficiary to other health center.
 Mobilize the beneficiaries to access trauma healing and psychosocial support; follow up from home to monitor their healing rate.
 Participate in the clinic outreach program. i.e. recording the names of the patient treated and psycho-education.
 The Volunteer Psychosocial Assistant will submit both daily and weekly reports to the social worker that summarizes their activities every day and every Friday afternoon of the week; allocating time for such report is the responsibility of the mobiliser.
 The Volunteer Psychosocial Assistant may be terminated if he/she fails to comply with his/her duties or commits gross misconduct.
</t>
  </si>
  <si>
    <t xml:space="preserve">TPO GRADE </t>
  </si>
  <si>
    <t xml:space="preserve">CLINICAL PSYCHOLOGIST </t>
  </si>
  <si>
    <t xml:space="preserve">DRIVER </t>
  </si>
  <si>
    <t>EDUCATION OFFICER</t>
  </si>
  <si>
    <t xml:space="preserve">PSYCHIATRIC CLINICAL OFFICER </t>
  </si>
  <si>
    <t>DEPUTY ED</t>
  </si>
  <si>
    <t xml:space="preserve">DIRECTOR PROGRAMS </t>
  </si>
  <si>
    <t>EXECUTIVE ASSISTANT</t>
  </si>
  <si>
    <t xml:space="preserve">FINANCE &amp; ADMINISTRATION OFFICER </t>
  </si>
  <si>
    <t xml:space="preserve">GRANTS AND COMPLIANCE MANAGER </t>
  </si>
  <si>
    <t xml:space="preserve">HEAD OF KNOWLEDGE DEVELOPMENT AND INNOVATION </t>
  </si>
  <si>
    <t xml:space="preserve">MHPSS MANAGER </t>
  </si>
  <si>
    <t xml:space="preserve">OFFICE ASSISTANT </t>
  </si>
  <si>
    <t xml:space="preserve">PROCUREMENT AND LOGISTICS MANAGER </t>
  </si>
  <si>
    <t xml:space="preserve">PROGRAM MANAGER </t>
  </si>
  <si>
    <t xml:space="preserve">REGIONAL MANAGER </t>
  </si>
  <si>
    <t>Finance &amp; Administration Officer</t>
  </si>
  <si>
    <t>Project Coordinator</t>
  </si>
  <si>
    <t>Regional Manager</t>
  </si>
  <si>
    <t>M&amp;E OFFICER</t>
  </si>
  <si>
    <t xml:space="preserve">PROJECT COORDINATOR </t>
  </si>
  <si>
    <t>CBR OFFICER</t>
  </si>
  <si>
    <t>COMMUNITY LINKAGES COORDINATOR</t>
  </si>
  <si>
    <t>SECURITY GUARD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</si>
</sst>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23" x14ac:knownFonts="1">
    <font>
      <sz val="11"/>
      <color theme="1"/>
      <name val="Calibri"/>
      <family val="2"/>
      <scheme val="minor"/>
    </font>
    <font>
      <sz val="14"/>
      <color theme="1"/>
      <name val="Calibri"/>
      <family val="2"/>
      <scheme val="minor"/>
    </font>
    <font>
      <b/>
      <sz val="14"/>
      <color theme="1"/>
      <name val="Times New Roman"/>
      <family val="1"/>
    </font>
    <font>
      <sz val="14"/>
      <color theme="1"/>
      <name val="Times New Roman"/>
      <family val="1"/>
    </font>
    <font>
      <sz val="11"/>
      <color theme="1"/>
      <name val="Calibri"/>
      <family val="2"/>
      <scheme val="minor"/>
    </font>
    <font>
      <sz val="11.5"/>
      <color theme="1"/>
      <name val="Times New Roman"/>
      <family val="1"/>
    </font>
    <font>
      <b/>
      <sz val="11.5"/>
      <color theme="1"/>
      <name val="Times New Roman"/>
      <family val="1"/>
    </font>
    <font>
      <b/>
      <sz val="12"/>
      <color theme="1"/>
      <name val="Calibri"/>
      <family val="2"/>
      <scheme val="minor"/>
    </font>
    <font>
      <b/>
      <sz val="12"/>
      <color rgb="FF000000"/>
      <name val="Times New Roman"/>
      <family val="1"/>
    </font>
    <font>
      <b/>
      <sz val="12"/>
      <color theme="1"/>
      <name val="Times New Roman"/>
      <family val="1"/>
    </font>
    <font>
      <sz val="12"/>
      <color theme="1"/>
      <name val="Calibri"/>
      <family val="2"/>
      <scheme val="minor"/>
    </font>
    <font>
      <sz val="12"/>
      <color theme="1"/>
      <name val="Times New Roman"/>
      <family val="1"/>
    </font>
    <font>
      <b/>
      <sz val="11.5"/>
      <color theme="1"/>
      <name val="Calibri"/>
      <family val="2"/>
      <scheme val="minor"/>
    </font>
    <font>
      <b/>
      <sz val="12"/>
      <color rgb="FF000000"/>
      <name val="Calibri"/>
      <family val="2"/>
      <scheme val="minor"/>
    </font>
    <font>
      <i/>
      <sz val="12"/>
      <color theme="1"/>
      <name val="Calibri"/>
      <family val="2"/>
      <scheme val="minor"/>
    </font>
    <font>
      <b/>
      <sz val="9"/>
      <color theme="1"/>
      <name val="Proxima Nova Alt Lt"/>
      <family val="3"/>
    </font>
    <font>
      <b/>
      <sz val="9"/>
      <color theme="1"/>
      <name val="AngsanaUPC"/>
      <family val="1"/>
    </font>
    <font>
      <sz val="9"/>
      <name val="Proxima Nova Alt Lt"/>
      <family val="3"/>
    </font>
    <font>
      <sz val="9"/>
      <color theme="1"/>
      <name val="Proxima Nova Alt Lt"/>
      <family val="3"/>
    </font>
    <font>
      <sz val="9"/>
      <color rgb="FFFF0000"/>
      <name val="Proxima Nova Alt Lt"/>
      <family val="3"/>
    </font>
    <font>
      <sz val="12"/>
      <color rgb="FF000000"/>
      <name val="Calibri"/>
      <family val="2"/>
      <scheme val="minor"/>
    </font>
    <font>
      <sz val="11"/>
      <color rgb="FF000000"/>
      <name val="Calibri"/>
      <family val="2"/>
      <scheme val="minor"/>
    </font>
    <font>
      <b/>
      <sz val="11"/>
      <color theme="1"/>
      <name val="Times New Roman"/>
      <family val="1"/>
    </font>
  </fonts>
  <fills count="11">
    <fill>
      <patternFill patternType="none"/>
    </fill>
    <fill>
      <patternFill patternType="gray125"/>
    </fill>
    <fill>
      <patternFill patternType="solid">
        <fgColor theme="4"/>
        <bgColor indexed="64"/>
      </patternFill>
    </fill>
    <fill>
      <patternFill patternType="solid">
        <fgColor theme="6"/>
        <bgColor indexed="64"/>
      </patternFill>
    </fill>
    <fill>
      <patternFill patternType="solid">
        <fgColor theme="3" tint="0.79998168889431442"/>
        <bgColor indexed="64"/>
      </patternFill>
    </fill>
    <fill>
      <patternFill patternType="solid">
        <fgColor theme="0"/>
        <bgColor indexed="64"/>
      </patternFill>
    </fill>
    <fill>
      <patternFill patternType="solid">
        <fgColor theme="6" tint="0.59999389629810485"/>
        <bgColor indexed="41"/>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theme="4" tint="0.79998168889431442"/>
      </patternFill>
    </fill>
    <fill>
      <patternFill patternType="solid">
        <fgColor theme="0"/>
        <bgColor theme="4" tint="0.79998168889431442"/>
      </patternFill>
    </fill>
  </fills>
  <borders count="4">
    <border>
      <left/>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auto="1"/>
      </right>
      <top style="thin">
        <color auto="1"/>
      </top>
      <bottom/>
      <diagonal/>
    </border>
  </borders>
  <cellStyleXfs count="3">
    <xf numFmtId="0" fontId="0" fillId="0" borderId="0"/>
    <xf numFmtId="0" fontId="10" fillId="0" borderId="0"/>
    <xf numFmtId="0" fontId="4" fillId="0" borderId="0"/>
  </cellStyleXfs>
  <cellXfs count="116">
    <xf numFmtId="0" fontId="0" fillId="0" borderId="0" xfId="0"/>
    <xf numFmtId="0" fontId="1" fillId="0" borderId="0" xfId="0" applyFont="1"/>
    <xf numFmtId="0" fontId="3" fillId="0" borderId="0" xfId="0" applyFont="1" applyAlignment="1">
      <alignment horizontal="justify" vertical="center" wrapText="1"/>
    </xf>
    <xf numFmtId="0" fontId="1" fillId="0" borderId="0" xfId="0" applyFont="1" applyAlignment="1">
      <alignment wrapText="1"/>
    </xf>
    <xf numFmtId="0" fontId="3" fillId="0" borderId="0" xfId="0" applyFont="1" applyAlignment="1">
      <alignment vertical="center" wrapText="1"/>
    </xf>
    <xf numFmtId="0" fontId="7" fillId="0" borderId="0" xfId="0" applyFont="1"/>
    <xf numFmtId="0" fontId="7" fillId="3" borderId="0" xfId="0" applyFont="1" applyFill="1"/>
    <xf numFmtId="0" fontId="7" fillId="3" borderId="0" xfId="0" applyFont="1" applyFill="1" applyAlignment="1">
      <alignment horizontal="center"/>
    </xf>
    <xf numFmtId="0" fontId="7" fillId="3" borderId="0" xfId="0" applyFont="1" applyFill="1" applyAlignment="1"/>
    <xf numFmtId="0" fontId="5" fillId="0" borderId="0" xfId="0" applyFont="1" applyAlignment="1">
      <alignment horizontal="left" vertical="center" wrapText="1"/>
    </xf>
    <xf numFmtId="0" fontId="3" fillId="0" borderId="0" xfId="0" applyFont="1" applyAlignment="1">
      <alignment horizontal="justify" vertical="center"/>
    </xf>
    <xf numFmtId="0" fontId="7" fillId="3" borderId="0" xfId="0" applyFont="1" applyFill="1" applyAlignment="1">
      <alignment vertical="center" wrapText="1"/>
    </xf>
    <xf numFmtId="0" fontId="9" fillId="3" borderId="0" xfId="0" applyFont="1" applyFill="1" applyAlignment="1">
      <alignment horizontal="center" vertical="top" wrapText="1"/>
    </xf>
    <xf numFmtId="0" fontId="9" fillId="3" borderId="0" xfId="0" applyFont="1" applyFill="1" applyAlignment="1">
      <alignment horizontal="center" vertical="center" wrapText="1"/>
    </xf>
    <xf numFmtId="0" fontId="7" fillId="3" borderId="0" xfId="0" applyFont="1" applyFill="1" applyAlignment="1">
      <alignment horizontal="center" vertical="center" wrapText="1"/>
    </xf>
    <xf numFmtId="0" fontId="7" fillId="3" borderId="0" xfId="0" applyFont="1" applyFill="1" applyAlignment="1">
      <alignment horizontal="center" vertical="center"/>
    </xf>
    <xf numFmtId="0" fontId="8" fillId="3" borderId="1" xfId="0" applyFont="1" applyFill="1" applyBorder="1" applyAlignment="1">
      <alignment horizontal="center" vertical="center" wrapText="1"/>
    </xf>
    <xf numFmtId="0" fontId="8" fillId="3" borderId="0" xfId="0" applyFont="1" applyFill="1" applyAlignment="1">
      <alignment horizontal="center" vertical="center"/>
    </xf>
    <xf numFmtId="0" fontId="7" fillId="2" borderId="0" xfId="0" applyFont="1" applyFill="1" applyAlignment="1"/>
    <xf numFmtId="0" fontId="7" fillId="0" borderId="0" xfId="0" applyFont="1" applyFill="1"/>
    <xf numFmtId="0" fontId="7" fillId="0" borderId="0" xfId="0" applyFont="1" applyFill="1" applyAlignment="1">
      <alignment horizontal="center" vertical="center"/>
    </xf>
    <xf numFmtId="0" fontId="7" fillId="3" borderId="0" xfId="0" applyFont="1" applyFill="1" applyAlignment="1">
      <alignment vertical="center"/>
    </xf>
    <xf numFmtId="0" fontId="0" fillId="0" borderId="0" xfId="0" applyFont="1"/>
    <xf numFmtId="0" fontId="12" fillId="3" borderId="0" xfId="0" applyFont="1" applyFill="1" applyAlignment="1">
      <alignment horizontal="center" vertical="center"/>
    </xf>
    <xf numFmtId="0" fontId="7" fillId="2" borderId="0" xfId="0" applyFont="1" applyFill="1" applyAlignment="1">
      <alignment wrapText="1"/>
    </xf>
    <xf numFmtId="0" fontId="7" fillId="3" borderId="0" xfId="0" applyFont="1" applyFill="1" applyAlignment="1">
      <alignment horizontal="center" wrapText="1"/>
    </xf>
    <xf numFmtId="0" fontId="13" fillId="3" borderId="0" xfId="0" applyFont="1" applyFill="1" applyAlignment="1">
      <alignment horizontal="center" vertical="center" wrapText="1"/>
    </xf>
    <xf numFmtId="0" fontId="13" fillId="3" borderId="1" xfId="0" applyFont="1" applyFill="1" applyBorder="1" applyAlignment="1">
      <alignment horizontal="center" vertical="center" wrapText="1"/>
    </xf>
    <xf numFmtId="0" fontId="13" fillId="3" borderId="0" xfId="0" applyFont="1" applyFill="1" applyBorder="1" applyAlignment="1">
      <alignment horizontal="center" vertical="center" wrapText="1"/>
    </xf>
    <xf numFmtId="0" fontId="10" fillId="2" borderId="0" xfId="0" applyFont="1" applyFill="1"/>
    <xf numFmtId="0" fontId="10" fillId="3" borderId="0" xfId="0" applyFont="1" applyFill="1" applyAlignment="1">
      <alignment horizontal="center" vertical="center" wrapText="1"/>
    </xf>
    <xf numFmtId="0" fontId="10" fillId="3" borderId="0" xfId="0" applyFont="1" applyFill="1"/>
    <xf numFmtId="0" fontId="10" fillId="0" borderId="0" xfId="0" applyFont="1" applyAlignment="1">
      <alignment wrapText="1"/>
    </xf>
    <xf numFmtId="0" fontId="10" fillId="0" borderId="0" xfId="0" applyFont="1" applyAlignment="1">
      <alignment horizontal="center" vertical="center" wrapText="1"/>
    </xf>
    <xf numFmtId="0" fontId="10" fillId="0" borderId="0" xfId="0" applyFont="1"/>
    <xf numFmtId="0" fontId="14" fillId="0" borderId="0" xfId="0" applyFont="1" applyAlignment="1">
      <alignment horizontal="justify" vertical="center" wrapText="1"/>
    </xf>
    <xf numFmtId="0" fontId="10" fillId="0" borderId="0" xfId="0" applyFont="1" applyAlignment="1">
      <alignment horizontal="justify" vertical="center"/>
    </xf>
    <xf numFmtId="0" fontId="11" fillId="0" borderId="0" xfId="0" applyFont="1" applyAlignment="1">
      <alignment horizontal="justify" vertical="center"/>
    </xf>
    <xf numFmtId="0" fontId="11" fillId="0" borderId="0" xfId="0" applyFont="1" applyAlignment="1">
      <alignment vertical="center"/>
    </xf>
    <xf numFmtId="0" fontId="13" fillId="3" borderId="0" xfId="0" applyFont="1" applyFill="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top" wrapText="1"/>
    </xf>
    <xf numFmtId="0" fontId="0" fillId="0" borderId="0" xfId="0" applyFont="1" applyAlignment="1">
      <alignment wrapText="1"/>
    </xf>
    <xf numFmtId="0" fontId="0" fillId="0" borderId="0" xfId="0" applyFont="1" applyAlignment="1">
      <alignment horizontal="center" vertical="center"/>
    </xf>
    <xf numFmtId="0" fontId="7" fillId="3" borderId="0" xfId="0" applyFont="1" applyFill="1" applyAlignment="1">
      <alignment horizontal="center" vertical="top" wrapText="1"/>
    </xf>
    <xf numFmtId="0" fontId="10" fillId="0" borderId="0" xfId="0" applyFont="1" applyAlignment="1">
      <alignment horizontal="left" vertical="center" wrapText="1"/>
    </xf>
    <xf numFmtId="0" fontId="10" fillId="0" borderId="0" xfId="0" applyFont="1" applyAlignment="1">
      <alignment horizontal="justify" vertical="center" wrapText="1"/>
    </xf>
    <xf numFmtId="0" fontId="10" fillId="0" borderId="0" xfId="0" applyFont="1" applyAlignment="1">
      <alignment vertical="center" wrapText="1"/>
    </xf>
    <xf numFmtId="0" fontId="7" fillId="2" borderId="0" xfId="0" applyFont="1" applyFill="1"/>
    <xf numFmtId="0" fontId="15" fillId="5" borderId="2" xfId="1" applyFont="1" applyFill="1" applyBorder="1" applyAlignment="1">
      <alignment vertical="center" wrapText="1"/>
    </xf>
    <xf numFmtId="0" fontId="15" fillId="5" borderId="2" xfId="1" applyFont="1" applyFill="1" applyBorder="1" applyAlignment="1">
      <alignment horizontal="left" vertical="center" wrapText="1"/>
    </xf>
    <xf numFmtId="0" fontId="15" fillId="4" borderId="2" xfId="1" applyFont="1" applyFill="1" applyBorder="1" applyAlignment="1">
      <alignment horizontal="left" vertical="center" wrapText="1"/>
    </xf>
    <xf numFmtId="164" fontId="15" fillId="0" borderId="2" xfId="1" applyNumberFormat="1" applyFont="1" applyBorder="1" applyAlignment="1">
      <alignment horizontal="left" vertical="center" wrapText="1"/>
    </xf>
    <xf numFmtId="164" fontId="15" fillId="0" borderId="2" xfId="1" applyNumberFormat="1" applyFont="1" applyBorder="1" applyAlignment="1">
      <alignment horizontal="left" vertical="center" textRotation="90" wrapText="1"/>
    </xf>
    <xf numFmtId="0" fontId="15" fillId="6" borderId="2" xfId="1" applyFont="1" applyFill="1" applyBorder="1" applyAlignment="1">
      <alignment horizontal="left" vertical="center" textRotation="90" wrapText="1"/>
    </xf>
    <xf numFmtId="0" fontId="16" fillId="6" borderId="3" xfId="1" applyFont="1" applyFill="1" applyBorder="1" applyAlignment="1">
      <alignment horizontal="left" vertical="center" textRotation="90" wrapText="1"/>
    </xf>
    <xf numFmtId="0" fontId="15" fillId="6" borderId="2" xfId="1" applyFont="1" applyFill="1" applyBorder="1" applyAlignment="1">
      <alignment horizontal="left" vertical="center" wrapText="1"/>
    </xf>
    <xf numFmtId="0" fontId="15" fillId="7" borderId="2" xfId="1" applyFont="1" applyFill="1" applyBorder="1" applyAlignment="1">
      <alignment horizontal="left" vertical="center" wrapText="1"/>
    </xf>
    <xf numFmtId="0" fontId="4" fillId="0" borderId="0" xfId="2"/>
    <xf numFmtId="0" fontId="17" fillId="8" borderId="2" xfId="2" applyFont="1" applyFill="1" applyBorder="1" applyAlignment="1">
      <alignment vertical="center"/>
    </xf>
    <xf numFmtId="0" fontId="17" fillId="8" borderId="2" xfId="2" applyFont="1" applyFill="1" applyBorder="1" applyAlignment="1">
      <alignment horizontal="left" vertical="center"/>
    </xf>
    <xf numFmtId="0" fontId="18" fillId="9" borderId="2" xfId="2" applyFont="1" applyFill="1" applyBorder="1"/>
    <xf numFmtId="0" fontId="17" fillId="8" borderId="2" xfId="2" applyFont="1" applyFill="1" applyBorder="1" applyAlignment="1" applyProtection="1">
      <alignment horizontal="left"/>
      <protection locked="0"/>
    </xf>
    <xf numFmtId="2" fontId="17" fillId="8" borderId="2" xfId="1" applyNumberFormat="1" applyFont="1" applyFill="1" applyBorder="1" applyProtection="1">
      <protection locked="0"/>
    </xf>
    <xf numFmtId="0" fontId="17" fillId="8" borderId="2" xfId="1" applyFont="1" applyFill="1" applyBorder="1" applyAlignment="1" applyProtection="1">
      <alignment horizontal="center" vertical="top"/>
      <protection locked="0"/>
    </xf>
    <xf numFmtId="0" fontId="17" fillId="0" borderId="2" xfId="1" applyFont="1" applyFill="1" applyBorder="1" applyAlignment="1">
      <alignment horizontal="center" vertical="top"/>
    </xf>
    <xf numFmtId="0" fontId="17" fillId="8" borderId="2" xfId="1" applyFont="1" applyFill="1" applyBorder="1" applyAlignment="1">
      <alignment horizontal="center" vertical="top"/>
    </xf>
    <xf numFmtId="1" fontId="17" fillId="8" borderId="2" xfId="1" applyNumberFormat="1" applyFont="1" applyFill="1" applyBorder="1"/>
    <xf numFmtId="0" fontId="17" fillId="8" borderId="2" xfId="1" applyFont="1" applyFill="1" applyBorder="1" applyAlignment="1">
      <alignment horizontal="left" vertical="top"/>
    </xf>
    <xf numFmtId="0" fontId="17" fillId="8" borderId="2" xfId="2" applyFont="1" applyFill="1" applyBorder="1" applyAlignment="1">
      <alignment vertical="center" wrapText="1"/>
    </xf>
    <xf numFmtId="0" fontId="17" fillId="5" borderId="2" xfId="2" applyFont="1" applyFill="1" applyBorder="1" applyAlignment="1">
      <alignment vertical="center"/>
    </xf>
    <xf numFmtId="0" fontId="17" fillId="5" borderId="2" xfId="2" applyFont="1" applyFill="1" applyBorder="1" applyAlignment="1">
      <alignment horizontal="left" vertical="center"/>
    </xf>
    <xf numFmtId="0" fontId="18" fillId="10" borderId="2" xfId="2" applyFont="1" applyFill="1" applyBorder="1"/>
    <xf numFmtId="0" fontId="17" fillId="5" borderId="2" xfId="2" applyFont="1" applyFill="1" applyBorder="1" applyAlignment="1" applyProtection="1">
      <alignment horizontal="left"/>
      <protection locked="0"/>
    </xf>
    <xf numFmtId="2" fontId="17" fillId="5" borderId="2" xfId="1" applyNumberFormat="1" applyFont="1" applyFill="1" applyBorder="1" applyProtection="1">
      <protection locked="0"/>
    </xf>
    <xf numFmtId="0" fontId="17" fillId="0" borderId="2" xfId="1" applyFont="1" applyFill="1" applyBorder="1" applyAlignment="1" applyProtection="1">
      <alignment horizontal="center" vertical="top"/>
      <protection locked="0"/>
    </xf>
    <xf numFmtId="0" fontId="17" fillId="5" borderId="2" xfId="1" applyFont="1" applyFill="1" applyBorder="1" applyAlignment="1" applyProtection="1">
      <alignment horizontal="center" vertical="top"/>
      <protection locked="0"/>
    </xf>
    <xf numFmtId="1" fontId="17" fillId="0" borderId="2" xfId="1" applyNumberFormat="1" applyFont="1" applyFill="1" applyBorder="1"/>
    <xf numFmtId="0" fontId="17" fillId="5" borderId="2" xfId="1" applyFont="1" applyFill="1" applyBorder="1" applyAlignment="1">
      <alignment horizontal="left" vertical="top"/>
    </xf>
    <xf numFmtId="0" fontId="17" fillId="5" borderId="2" xfId="2" applyFont="1" applyFill="1" applyBorder="1" applyAlignment="1">
      <alignment vertical="center" wrapText="1"/>
    </xf>
    <xf numFmtId="0" fontId="18" fillId="8" borderId="2" xfId="2" applyFont="1" applyFill="1" applyBorder="1"/>
    <xf numFmtId="0" fontId="17" fillId="0" borderId="2" xfId="2" applyFont="1" applyFill="1" applyBorder="1" applyAlignment="1">
      <alignment vertical="center"/>
    </xf>
    <xf numFmtId="0" fontId="17" fillId="0" borderId="2" xfId="2" applyFont="1" applyFill="1" applyBorder="1" applyAlignment="1">
      <alignment horizontal="left" vertical="center"/>
    </xf>
    <xf numFmtId="0" fontId="18" fillId="0" borderId="2" xfId="2" applyFont="1" applyFill="1" applyBorder="1"/>
    <xf numFmtId="0" fontId="17" fillId="0" borderId="2" xfId="2" applyFont="1" applyFill="1" applyBorder="1" applyAlignment="1" applyProtection="1">
      <alignment horizontal="left"/>
      <protection locked="0"/>
    </xf>
    <xf numFmtId="2" fontId="17" fillId="0" borderId="2" xfId="1" applyNumberFormat="1" applyFont="1" applyFill="1" applyBorder="1" applyProtection="1">
      <protection locked="0"/>
    </xf>
    <xf numFmtId="1" fontId="17" fillId="0" borderId="2" xfId="1" applyNumberFormat="1" applyFont="1" applyFill="1" applyBorder="1" applyAlignment="1" applyProtection="1">
      <alignment horizontal="center" vertical="top"/>
      <protection locked="0"/>
    </xf>
    <xf numFmtId="1" fontId="17" fillId="0" borderId="2" xfId="1" applyNumberFormat="1" applyFont="1" applyFill="1" applyBorder="1" applyAlignment="1">
      <alignment horizontal="center" vertical="top"/>
    </xf>
    <xf numFmtId="0" fontId="17" fillId="0" borderId="2" xfId="1" applyFont="1" applyFill="1" applyBorder="1" applyAlignment="1">
      <alignment horizontal="left" vertical="top"/>
    </xf>
    <xf numFmtId="0" fontId="4" fillId="0" borderId="0" xfId="2" applyFill="1"/>
    <xf numFmtId="0" fontId="18" fillId="0" borderId="2" xfId="2" applyFont="1" applyFill="1" applyBorder="1" applyAlignment="1"/>
    <xf numFmtId="164" fontId="17" fillId="0" borderId="2" xfId="1" applyNumberFormat="1" applyFont="1" applyFill="1" applyBorder="1" applyProtection="1">
      <protection locked="0"/>
    </xf>
    <xf numFmtId="0" fontId="17" fillId="0" borderId="2" xfId="1" applyFont="1" applyFill="1" applyBorder="1" applyAlignment="1">
      <alignment horizontal="left" vertical="top" wrapText="1"/>
    </xf>
    <xf numFmtId="0" fontId="17" fillId="0" borderId="2" xfId="2" applyFont="1" applyFill="1" applyBorder="1" applyAlignment="1">
      <alignment vertical="center" wrapText="1"/>
    </xf>
    <xf numFmtId="0" fontId="17" fillId="0" borderId="2" xfId="2" applyFont="1" applyFill="1" applyBorder="1"/>
    <xf numFmtId="1" fontId="19" fillId="0" borderId="2" xfId="1" applyNumberFormat="1" applyFont="1" applyFill="1" applyBorder="1" applyAlignment="1">
      <alignment horizontal="center" vertical="top"/>
    </xf>
    <xf numFmtId="1" fontId="19" fillId="0" borderId="2" xfId="1" applyNumberFormat="1" applyFont="1" applyFill="1" applyBorder="1"/>
    <xf numFmtId="0" fontId="19" fillId="0" borderId="2" xfId="1" applyFont="1" applyFill="1" applyBorder="1" applyAlignment="1">
      <alignment horizontal="center" vertical="top"/>
    </xf>
    <xf numFmtId="0" fontId="18" fillId="0" borderId="2" xfId="2" applyFont="1" applyBorder="1" applyAlignment="1"/>
    <xf numFmtId="0" fontId="18" fillId="0" borderId="2" xfId="2" applyFont="1" applyBorder="1"/>
    <xf numFmtId="1" fontId="18" fillId="0" borderId="2" xfId="2" applyNumberFormat="1" applyFont="1" applyBorder="1" applyAlignment="1">
      <alignment horizontal="center"/>
    </xf>
    <xf numFmtId="0" fontId="18" fillId="0" borderId="2" xfId="2" applyFont="1" applyBorder="1" applyAlignment="1">
      <alignment horizontal="center"/>
    </xf>
    <xf numFmtId="9" fontId="18" fillId="0" borderId="2" xfId="2" applyNumberFormat="1" applyFont="1" applyFill="1" applyBorder="1"/>
    <xf numFmtId="0" fontId="4" fillId="0" borderId="0" xfId="2" applyAlignment="1"/>
    <xf numFmtId="10" fontId="0" fillId="0" borderId="0" xfId="0" applyNumberFormat="1"/>
    <xf numFmtId="9" fontId="0" fillId="0" borderId="0" xfId="0" applyNumberFormat="1"/>
    <xf numFmtId="0" fontId="14" fillId="0" borderId="0" xfId="0" applyFont="1" applyAlignment="1">
      <alignment horizontal="center" vertical="center" wrapText="1"/>
    </xf>
    <xf numFmtId="0" fontId="20" fillId="0" borderId="0" xfId="0" applyFont="1"/>
    <xf numFmtId="0" fontId="21" fillId="0" borderId="0" xfId="0" applyFont="1"/>
    <xf numFmtId="0" fontId="22" fillId="0" borderId="0" xfId="0" applyFont="1"/>
    <xf numFmtId="0" fontId="7" fillId="3" borderId="0" xfId="0" applyFont="1" applyFill="1" applyAlignment="1">
      <alignment horizontal="center" vertical="center"/>
    </xf>
    <xf numFmtId="0" fontId="7" fillId="2" borderId="0" xfId="0" applyFont="1" applyFill="1" applyAlignment="1">
      <alignment horizontal="center"/>
    </xf>
    <xf numFmtId="0" fontId="7" fillId="2" borderId="0" xfId="0" applyFont="1" applyFill="1" applyAlignment="1">
      <alignment horizontal="center" wrapText="1"/>
    </xf>
    <xf numFmtId="0" fontId="7" fillId="3" borderId="0" xfId="0" applyFont="1" applyFill="1" applyAlignment="1">
      <alignment horizontal="center" vertical="center" wrapText="1"/>
    </xf>
    <xf numFmtId="0" fontId="7" fillId="3" borderId="0" xfId="0" applyFont="1" applyFill="1" applyAlignment="1">
      <alignment horizontal="center"/>
    </xf>
  </cellXfs>
  <cellStyles count="3">
    <cellStyle name="Normal" xfId="0" builtinId="0"/>
    <cellStyle name="Normal 2 2" xfId="1" xr:uid="{00000000-0005-0000-0000-000001000000}"/>
    <cellStyle name="Normal 8" xfId="2" xr:uid="{00000000-0005-0000-0000-00000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69"/>
  <sheetViews>
    <sheetView topLeftCell="B1" zoomScale="54" zoomScaleNormal="54" workbookViewId="0">
      <selection activeCell="C6" sqref="C6"/>
    </sheetView>
  </sheetViews>
  <sheetFormatPr defaultColWidth="39.453125" defaultRowHeight="18.5" x14ac:dyDescent="0.45"/>
  <cols>
    <col min="1" max="16384" width="39.453125" style="1"/>
  </cols>
  <sheetData>
    <row r="1" spans="1:20" s="5" customFormat="1" ht="15.5" x14ac:dyDescent="0.35">
      <c r="A1" s="112" t="s">
        <v>56</v>
      </c>
      <c r="B1" s="112"/>
      <c r="C1" s="112"/>
      <c r="D1" s="112"/>
      <c r="E1" s="112"/>
      <c r="F1" s="112"/>
      <c r="G1" s="112"/>
      <c r="H1" s="112"/>
      <c r="I1" s="112"/>
      <c r="J1" s="112"/>
      <c r="K1" s="112"/>
      <c r="L1" s="112"/>
      <c r="M1" s="112"/>
      <c r="N1" s="112"/>
      <c r="O1" s="112"/>
      <c r="P1" s="112"/>
      <c r="Q1" s="18"/>
      <c r="R1" s="18"/>
      <c r="S1" s="18"/>
      <c r="T1" s="18"/>
    </row>
    <row r="2" spans="1:20" s="19" customFormat="1" ht="15.5" x14ac:dyDescent="0.35">
      <c r="A2" s="7"/>
      <c r="B2" s="111" t="s">
        <v>26</v>
      </c>
      <c r="C2" s="111"/>
      <c r="D2" s="111" t="s">
        <v>6</v>
      </c>
      <c r="E2" s="111"/>
      <c r="F2" s="111"/>
      <c r="G2" s="111" t="s">
        <v>11</v>
      </c>
      <c r="H2" s="111"/>
      <c r="I2" s="111"/>
      <c r="J2" s="111"/>
      <c r="K2" s="111"/>
      <c r="L2" s="111"/>
      <c r="M2" s="111"/>
      <c r="N2" s="111"/>
      <c r="O2" s="111" t="s">
        <v>12</v>
      </c>
      <c r="P2" s="111"/>
      <c r="Q2" s="111"/>
      <c r="R2" s="111" t="s">
        <v>23</v>
      </c>
      <c r="S2" s="111"/>
      <c r="T2" s="111"/>
    </row>
    <row r="3" spans="1:20" s="19" customFormat="1" ht="45.5" thickBot="1" x14ac:dyDescent="0.4">
      <c r="A3" s="15" t="s">
        <v>0</v>
      </c>
      <c r="B3" s="15" t="s">
        <v>1</v>
      </c>
      <c r="C3" s="15" t="s">
        <v>2</v>
      </c>
      <c r="D3" s="15" t="s">
        <v>3</v>
      </c>
      <c r="E3" s="15" t="s">
        <v>4</v>
      </c>
      <c r="F3" s="15" t="s">
        <v>5</v>
      </c>
      <c r="G3" s="15" t="s">
        <v>7</v>
      </c>
      <c r="H3" s="15" t="s">
        <v>252</v>
      </c>
      <c r="I3" s="15" t="s">
        <v>8</v>
      </c>
      <c r="J3" s="17" t="s">
        <v>53</v>
      </c>
      <c r="K3" s="17" t="s">
        <v>52</v>
      </c>
      <c r="L3" s="16" t="s">
        <v>51</v>
      </c>
      <c r="M3" s="16" t="s">
        <v>9</v>
      </c>
      <c r="N3" s="15" t="s">
        <v>10</v>
      </c>
      <c r="O3" s="13" t="s">
        <v>24</v>
      </c>
      <c r="P3" s="12" t="s">
        <v>25</v>
      </c>
      <c r="Q3" s="13" t="s">
        <v>13</v>
      </c>
      <c r="R3" s="14" t="s">
        <v>15</v>
      </c>
      <c r="S3" s="13" t="s">
        <v>16</v>
      </c>
      <c r="T3" s="13" t="s">
        <v>21</v>
      </c>
    </row>
    <row r="4" spans="1:20" ht="216" x14ac:dyDescent="0.45">
      <c r="O4" s="9" t="s">
        <v>22</v>
      </c>
      <c r="P4" s="2" t="s">
        <v>18</v>
      </c>
      <c r="Q4" s="10" t="s">
        <v>14</v>
      </c>
      <c r="R4" s="2" t="s">
        <v>20</v>
      </c>
      <c r="S4" s="2" t="s">
        <v>19</v>
      </c>
      <c r="T4" s="2" t="s">
        <v>17</v>
      </c>
    </row>
    <row r="5" spans="1:20" x14ac:dyDescent="0.45">
      <c r="C5" s="109" t="s">
        <v>273</v>
      </c>
      <c r="D5" s="22"/>
      <c r="G5" s="22"/>
      <c r="P5" s="3" t="s">
        <v>15</v>
      </c>
    </row>
    <row r="6" spans="1:20" x14ac:dyDescent="0.45">
      <c r="C6" s="22" t="s">
        <v>253</v>
      </c>
      <c r="D6" s="22"/>
      <c r="G6" s="22" t="s">
        <v>267</v>
      </c>
      <c r="P6" s="2"/>
    </row>
    <row r="7" spans="1:20" x14ac:dyDescent="0.45">
      <c r="C7" s="109" t="s">
        <v>274</v>
      </c>
      <c r="D7" s="22"/>
      <c r="G7" s="22"/>
    </row>
    <row r="8" spans="1:20" x14ac:dyDescent="0.45">
      <c r="C8" s="22" t="s">
        <v>257</v>
      </c>
      <c r="D8" s="22"/>
      <c r="G8" s="22"/>
      <c r="O8" s="2"/>
    </row>
    <row r="9" spans="1:20" x14ac:dyDescent="0.45">
      <c r="C9" s="22" t="s">
        <v>258</v>
      </c>
      <c r="D9" s="22"/>
      <c r="G9" s="22"/>
      <c r="O9" s="2"/>
    </row>
    <row r="10" spans="1:20" x14ac:dyDescent="0.45">
      <c r="C10" s="22" t="s">
        <v>254</v>
      </c>
      <c r="D10" s="110"/>
      <c r="G10" s="110" t="s">
        <v>268</v>
      </c>
      <c r="O10" s="2"/>
    </row>
    <row r="11" spans="1:20" x14ac:dyDescent="0.45">
      <c r="C11" s="22" t="s">
        <v>255</v>
      </c>
      <c r="D11" s="110"/>
      <c r="G11" s="110" t="s">
        <v>269</v>
      </c>
      <c r="O11" s="3"/>
      <c r="P11" s="4"/>
    </row>
    <row r="12" spans="1:20" x14ac:dyDescent="0.45">
      <c r="C12" s="22" t="s">
        <v>259</v>
      </c>
      <c r="D12" s="22"/>
      <c r="G12" s="22"/>
      <c r="O12" s="3"/>
      <c r="P12" s="4"/>
    </row>
    <row r="13" spans="1:20" x14ac:dyDescent="0.45">
      <c r="C13" s="22" t="s">
        <v>260</v>
      </c>
      <c r="D13" s="22"/>
      <c r="G13" s="22"/>
      <c r="O13" s="3"/>
      <c r="P13" s="3"/>
    </row>
    <row r="14" spans="1:20" x14ac:dyDescent="0.45">
      <c r="C14" s="22" t="s">
        <v>261</v>
      </c>
      <c r="D14" s="22"/>
      <c r="G14" s="22"/>
      <c r="O14" s="3"/>
      <c r="P14" s="3"/>
    </row>
    <row r="15" spans="1:20" x14ac:dyDescent="0.45">
      <c r="C15" s="22" t="s">
        <v>262</v>
      </c>
      <c r="D15" s="22"/>
      <c r="G15" s="22"/>
      <c r="O15" s="3"/>
      <c r="P15" s="3"/>
    </row>
    <row r="16" spans="1:20" x14ac:dyDescent="0.45">
      <c r="C16" s="109" t="s">
        <v>271</v>
      </c>
      <c r="D16" s="22"/>
      <c r="G16" s="22"/>
      <c r="O16" s="3"/>
      <c r="P16" s="3"/>
    </row>
    <row r="17" spans="3:16" x14ac:dyDescent="0.45">
      <c r="C17" s="22" t="s">
        <v>263</v>
      </c>
      <c r="D17" s="22"/>
      <c r="G17" s="22"/>
      <c r="O17" s="3"/>
      <c r="P17" s="3"/>
    </row>
    <row r="18" spans="3:16" x14ac:dyDescent="0.45">
      <c r="C18" s="22" t="s">
        <v>264</v>
      </c>
      <c r="D18" s="22"/>
      <c r="G18" s="22"/>
      <c r="O18" s="3"/>
      <c r="P18" s="3"/>
    </row>
    <row r="19" spans="3:16" x14ac:dyDescent="0.45">
      <c r="C19" s="22" t="s">
        <v>265</v>
      </c>
      <c r="D19" s="22"/>
      <c r="G19" s="22"/>
      <c r="O19" s="3"/>
      <c r="P19" s="3"/>
    </row>
    <row r="20" spans="3:16" x14ac:dyDescent="0.45">
      <c r="C20" s="22" t="s">
        <v>266</v>
      </c>
      <c r="D20" s="22"/>
      <c r="G20" s="22"/>
      <c r="O20" s="3"/>
      <c r="P20" s="3"/>
    </row>
    <row r="21" spans="3:16" x14ac:dyDescent="0.45">
      <c r="C21" s="109" t="s">
        <v>272</v>
      </c>
      <c r="D21" s="22"/>
      <c r="G21" s="22"/>
      <c r="O21" s="3"/>
      <c r="P21" s="3"/>
    </row>
    <row r="22" spans="3:16" x14ac:dyDescent="0.45">
      <c r="C22" s="22" t="s">
        <v>256</v>
      </c>
      <c r="D22" s="110"/>
      <c r="G22" s="110" t="s">
        <v>270</v>
      </c>
      <c r="O22" s="3"/>
      <c r="P22" s="3"/>
    </row>
    <row r="23" spans="3:16" x14ac:dyDescent="0.45">
      <c r="C23" s="109" t="s">
        <v>275</v>
      </c>
      <c r="D23" s="22"/>
      <c r="G23" s="22"/>
      <c r="O23" s="3"/>
      <c r="P23" s="3"/>
    </row>
    <row r="24" spans="3:16" x14ac:dyDescent="0.45">
      <c r="C24" s="22" t="s">
        <v>171</v>
      </c>
      <c r="D24" s="110"/>
      <c r="G24" s="110" t="s">
        <v>270</v>
      </c>
      <c r="O24" s="3"/>
      <c r="P24" s="3"/>
    </row>
    <row r="25" spans="3:16" x14ac:dyDescent="0.45">
      <c r="C25" s="108" t="s">
        <v>155</v>
      </c>
      <c r="O25" s="3"/>
      <c r="P25" s="3"/>
    </row>
    <row r="26" spans="3:16" x14ac:dyDescent="0.45">
      <c r="C26" s="108" t="s">
        <v>171</v>
      </c>
      <c r="O26" s="3"/>
      <c r="P26" s="3"/>
    </row>
    <row r="27" spans="3:16" x14ac:dyDescent="0.45">
      <c r="C27" s="108" t="s">
        <v>171</v>
      </c>
      <c r="O27" s="3"/>
      <c r="P27" s="3"/>
    </row>
    <row r="28" spans="3:16" x14ac:dyDescent="0.45">
      <c r="C28" s="108" t="s">
        <v>178</v>
      </c>
      <c r="O28" s="3"/>
      <c r="P28" s="3"/>
    </row>
    <row r="29" spans="3:16" x14ac:dyDescent="0.45">
      <c r="C29" s="108" t="s">
        <v>274</v>
      </c>
      <c r="O29" s="3"/>
      <c r="P29" s="3"/>
    </row>
    <row r="30" spans="3:16" x14ac:dyDescent="0.45">
      <c r="C30" s="108" t="s">
        <v>274</v>
      </c>
      <c r="O30" s="3"/>
      <c r="P30" s="3"/>
    </row>
    <row r="31" spans="3:16" x14ac:dyDescent="0.45">
      <c r="C31" s="108" t="s">
        <v>171</v>
      </c>
      <c r="O31" s="3"/>
      <c r="P31" s="3"/>
    </row>
    <row r="32" spans="3:16" x14ac:dyDescent="0.45">
      <c r="C32" s="108" t="s">
        <v>171</v>
      </c>
      <c r="O32" s="3"/>
      <c r="P32" s="3"/>
    </row>
    <row r="33" spans="3:16" x14ac:dyDescent="0.45">
      <c r="C33" s="108" t="s">
        <v>274</v>
      </c>
      <c r="O33" s="3"/>
      <c r="P33" s="3"/>
    </row>
    <row r="34" spans="3:16" x14ac:dyDescent="0.45">
      <c r="C34" s="108" t="s">
        <v>171</v>
      </c>
      <c r="O34" s="3"/>
      <c r="P34" s="3"/>
    </row>
    <row r="35" spans="3:16" x14ac:dyDescent="0.45">
      <c r="C35" s="108" t="s">
        <v>155</v>
      </c>
      <c r="O35" s="3"/>
      <c r="P35" s="3"/>
    </row>
    <row r="36" spans="3:16" x14ac:dyDescent="0.45">
      <c r="C36" s="108" t="s">
        <v>171</v>
      </c>
      <c r="O36" s="3"/>
      <c r="P36" s="3"/>
    </row>
    <row r="37" spans="3:16" x14ac:dyDescent="0.45">
      <c r="C37" s="108" t="s">
        <v>171</v>
      </c>
      <c r="O37" s="3"/>
      <c r="P37" s="3"/>
    </row>
    <row r="38" spans="3:16" x14ac:dyDescent="0.45">
      <c r="C38" s="108" t="s">
        <v>155</v>
      </c>
      <c r="O38" s="3"/>
      <c r="P38" s="3"/>
    </row>
    <row r="39" spans="3:16" x14ac:dyDescent="0.45">
      <c r="C39" s="108" t="s">
        <v>155</v>
      </c>
      <c r="O39" s="3"/>
      <c r="P39" s="3"/>
    </row>
    <row r="40" spans="3:16" x14ac:dyDescent="0.45">
      <c r="C40" s="108" t="s">
        <v>178</v>
      </c>
      <c r="O40" s="3"/>
      <c r="P40" s="3"/>
    </row>
    <row r="41" spans="3:16" x14ac:dyDescent="0.45">
      <c r="C41" s="108" t="s">
        <v>275</v>
      </c>
      <c r="O41" s="3"/>
      <c r="P41" s="3"/>
    </row>
    <row r="42" spans="3:16" x14ac:dyDescent="0.45">
      <c r="C42" s="108" t="s">
        <v>155</v>
      </c>
      <c r="O42" s="3"/>
      <c r="P42" s="3"/>
    </row>
    <row r="43" spans="3:16" x14ac:dyDescent="0.45">
      <c r="O43" s="3"/>
      <c r="P43" s="3"/>
    </row>
    <row r="44" spans="3:16" x14ac:dyDescent="0.45">
      <c r="O44" s="3"/>
      <c r="P44" s="3"/>
    </row>
    <row r="45" spans="3:16" x14ac:dyDescent="0.45">
      <c r="O45" s="3"/>
      <c r="P45" s="3"/>
    </row>
    <row r="46" spans="3:16" x14ac:dyDescent="0.45">
      <c r="O46" s="3"/>
      <c r="P46" s="3"/>
    </row>
    <row r="47" spans="3:16" x14ac:dyDescent="0.45">
      <c r="O47" s="3"/>
      <c r="P47" s="3"/>
    </row>
    <row r="48" spans="3:16" x14ac:dyDescent="0.45">
      <c r="O48" s="3"/>
      <c r="P48" s="3"/>
    </row>
    <row r="49" spans="15:16" x14ac:dyDescent="0.45">
      <c r="O49" s="3"/>
      <c r="P49" s="3"/>
    </row>
    <row r="50" spans="15:16" x14ac:dyDescent="0.45">
      <c r="O50" s="3"/>
      <c r="P50" s="3"/>
    </row>
    <row r="51" spans="15:16" x14ac:dyDescent="0.45">
      <c r="O51" s="3"/>
      <c r="P51" s="3"/>
    </row>
    <row r="52" spans="15:16" x14ac:dyDescent="0.45">
      <c r="O52" s="3"/>
      <c r="P52" s="3"/>
    </row>
    <row r="53" spans="15:16" x14ac:dyDescent="0.45">
      <c r="O53" s="3"/>
      <c r="P53" s="3"/>
    </row>
    <row r="54" spans="15:16" x14ac:dyDescent="0.45">
      <c r="O54" s="3"/>
      <c r="P54" s="3"/>
    </row>
    <row r="55" spans="15:16" x14ac:dyDescent="0.45">
      <c r="O55" s="3"/>
      <c r="P55" s="3"/>
    </row>
    <row r="56" spans="15:16" x14ac:dyDescent="0.45">
      <c r="O56" s="3"/>
      <c r="P56" s="3"/>
    </row>
    <row r="57" spans="15:16" x14ac:dyDescent="0.45">
      <c r="O57" s="3"/>
      <c r="P57" s="3"/>
    </row>
    <row r="58" spans="15:16" x14ac:dyDescent="0.45">
      <c r="O58" s="3"/>
      <c r="P58" s="3"/>
    </row>
    <row r="59" spans="15:16" x14ac:dyDescent="0.45">
      <c r="O59" s="3"/>
      <c r="P59" s="3"/>
    </row>
    <row r="60" spans="15:16" x14ac:dyDescent="0.45">
      <c r="O60" s="3"/>
      <c r="P60" s="3"/>
    </row>
    <row r="61" spans="15:16" x14ac:dyDescent="0.45">
      <c r="O61" s="3"/>
      <c r="P61" s="3"/>
    </row>
    <row r="62" spans="15:16" x14ac:dyDescent="0.45">
      <c r="O62" s="3"/>
      <c r="P62" s="3"/>
    </row>
    <row r="63" spans="15:16" x14ac:dyDescent="0.45">
      <c r="O63" s="3"/>
      <c r="P63" s="3"/>
    </row>
    <row r="64" spans="15:16" x14ac:dyDescent="0.45">
      <c r="O64" s="3"/>
      <c r="P64" s="3"/>
    </row>
    <row r="65" spans="15:16" x14ac:dyDescent="0.45">
      <c r="O65" s="3"/>
      <c r="P65" s="3"/>
    </row>
    <row r="66" spans="15:16" x14ac:dyDescent="0.45">
      <c r="O66" s="3"/>
      <c r="P66" s="3"/>
    </row>
    <row r="67" spans="15:16" x14ac:dyDescent="0.45">
      <c r="O67" s="3"/>
      <c r="P67" s="3"/>
    </row>
    <row r="68" spans="15:16" x14ac:dyDescent="0.45">
      <c r="O68" s="3"/>
      <c r="P68" s="3"/>
    </row>
    <row r="69" spans="15:16" x14ac:dyDescent="0.45">
      <c r="O69" s="3"/>
      <c r="P69" s="3"/>
    </row>
    <row r="70" spans="15:16" x14ac:dyDescent="0.45">
      <c r="O70" s="3"/>
      <c r="P70" s="3"/>
    </row>
    <row r="71" spans="15:16" x14ac:dyDescent="0.45">
      <c r="O71" s="3"/>
      <c r="P71" s="3"/>
    </row>
    <row r="72" spans="15:16" x14ac:dyDescent="0.45">
      <c r="O72" s="3"/>
      <c r="P72" s="3"/>
    </row>
    <row r="73" spans="15:16" x14ac:dyDescent="0.45">
      <c r="O73" s="3"/>
      <c r="P73" s="3"/>
    </row>
    <row r="74" spans="15:16" x14ac:dyDescent="0.45">
      <c r="O74" s="3"/>
      <c r="P74" s="3"/>
    </row>
    <row r="75" spans="15:16" x14ac:dyDescent="0.45">
      <c r="O75" s="3"/>
      <c r="P75" s="3"/>
    </row>
    <row r="76" spans="15:16" x14ac:dyDescent="0.45">
      <c r="O76" s="3"/>
      <c r="P76" s="3"/>
    </row>
    <row r="77" spans="15:16" x14ac:dyDescent="0.45">
      <c r="O77" s="3"/>
      <c r="P77" s="3"/>
    </row>
    <row r="78" spans="15:16" x14ac:dyDescent="0.45">
      <c r="O78" s="3"/>
      <c r="P78" s="3"/>
    </row>
    <row r="79" spans="15:16" x14ac:dyDescent="0.45">
      <c r="O79" s="3"/>
      <c r="P79" s="3"/>
    </row>
    <row r="80" spans="15:16" x14ac:dyDescent="0.45">
      <c r="O80" s="3"/>
      <c r="P80" s="3"/>
    </row>
    <row r="81" spans="15:16" x14ac:dyDescent="0.45">
      <c r="O81" s="3"/>
      <c r="P81" s="3"/>
    </row>
    <row r="82" spans="15:16" x14ac:dyDescent="0.45">
      <c r="O82" s="3"/>
      <c r="P82" s="3"/>
    </row>
    <row r="83" spans="15:16" x14ac:dyDescent="0.45">
      <c r="O83" s="3"/>
      <c r="P83" s="3"/>
    </row>
    <row r="84" spans="15:16" x14ac:dyDescent="0.45">
      <c r="O84" s="3"/>
      <c r="P84" s="3"/>
    </row>
    <row r="85" spans="15:16" x14ac:dyDescent="0.45">
      <c r="O85" s="3"/>
      <c r="P85" s="3"/>
    </row>
    <row r="86" spans="15:16" x14ac:dyDescent="0.45">
      <c r="O86" s="3"/>
      <c r="P86" s="3"/>
    </row>
    <row r="87" spans="15:16" x14ac:dyDescent="0.45">
      <c r="O87" s="3"/>
      <c r="P87" s="3"/>
    </row>
    <row r="88" spans="15:16" x14ac:dyDescent="0.45">
      <c r="O88" s="3"/>
      <c r="P88" s="3"/>
    </row>
    <row r="89" spans="15:16" x14ac:dyDescent="0.45">
      <c r="O89" s="3"/>
      <c r="P89" s="3"/>
    </row>
    <row r="90" spans="15:16" x14ac:dyDescent="0.45">
      <c r="O90" s="3"/>
      <c r="P90" s="3"/>
    </row>
    <row r="91" spans="15:16" x14ac:dyDescent="0.45">
      <c r="O91" s="3"/>
      <c r="P91" s="3"/>
    </row>
    <row r="92" spans="15:16" x14ac:dyDescent="0.45">
      <c r="O92" s="3"/>
      <c r="P92" s="3"/>
    </row>
    <row r="93" spans="15:16" x14ac:dyDescent="0.45">
      <c r="O93" s="3"/>
      <c r="P93" s="3"/>
    </row>
    <row r="94" spans="15:16" x14ac:dyDescent="0.45">
      <c r="O94" s="3"/>
      <c r="P94" s="3"/>
    </row>
    <row r="95" spans="15:16" x14ac:dyDescent="0.45">
      <c r="O95" s="3"/>
      <c r="P95" s="3"/>
    </row>
    <row r="96" spans="15:16" x14ac:dyDescent="0.45">
      <c r="O96" s="3"/>
      <c r="P96" s="3"/>
    </row>
    <row r="97" spans="15:16" x14ac:dyDescent="0.45">
      <c r="O97" s="3"/>
      <c r="P97" s="3"/>
    </row>
    <row r="98" spans="15:16" x14ac:dyDescent="0.45">
      <c r="O98" s="3"/>
      <c r="P98" s="3"/>
    </row>
    <row r="99" spans="15:16" x14ac:dyDescent="0.45">
      <c r="O99" s="3"/>
      <c r="P99" s="3"/>
    </row>
    <row r="100" spans="15:16" x14ac:dyDescent="0.45">
      <c r="O100" s="3"/>
      <c r="P100" s="3"/>
    </row>
    <row r="101" spans="15:16" x14ac:dyDescent="0.45">
      <c r="O101" s="3"/>
      <c r="P101" s="3"/>
    </row>
    <row r="102" spans="15:16" x14ac:dyDescent="0.45">
      <c r="O102" s="3"/>
      <c r="P102" s="3"/>
    </row>
    <row r="103" spans="15:16" x14ac:dyDescent="0.45">
      <c r="O103" s="3"/>
      <c r="P103" s="3"/>
    </row>
    <row r="104" spans="15:16" x14ac:dyDescent="0.45">
      <c r="O104" s="3"/>
      <c r="P104" s="3"/>
    </row>
    <row r="105" spans="15:16" x14ac:dyDescent="0.45">
      <c r="O105" s="3"/>
      <c r="P105" s="3"/>
    </row>
    <row r="106" spans="15:16" x14ac:dyDescent="0.45">
      <c r="O106" s="3"/>
      <c r="P106" s="3"/>
    </row>
    <row r="107" spans="15:16" x14ac:dyDescent="0.45">
      <c r="O107" s="3"/>
      <c r="P107" s="3"/>
    </row>
    <row r="108" spans="15:16" x14ac:dyDescent="0.45">
      <c r="O108" s="3"/>
      <c r="P108" s="3"/>
    </row>
    <row r="109" spans="15:16" x14ac:dyDescent="0.45">
      <c r="O109" s="3"/>
      <c r="P109" s="3"/>
    </row>
    <row r="110" spans="15:16" x14ac:dyDescent="0.45">
      <c r="O110" s="3"/>
      <c r="P110" s="3"/>
    </row>
    <row r="111" spans="15:16" x14ac:dyDescent="0.45">
      <c r="O111" s="3"/>
      <c r="P111" s="3"/>
    </row>
    <row r="112" spans="15:16" x14ac:dyDescent="0.45">
      <c r="O112" s="3"/>
      <c r="P112" s="3"/>
    </row>
    <row r="113" spans="15:16" x14ac:dyDescent="0.45">
      <c r="O113" s="3"/>
      <c r="P113" s="3"/>
    </row>
    <row r="114" spans="15:16" x14ac:dyDescent="0.45">
      <c r="O114" s="3"/>
      <c r="P114" s="3"/>
    </row>
    <row r="115" spans="15:16" x14ac:dyDescent="0.45">
      <c r="O115" s="3"/>
      <c r="P115" s="3"/>
    </row>
    <row r="116" spans="15:16" x14ac:dyDescent="0.45">
      <c r="O116" s="3"/>
      <c r="P116" s="3"/>
    </row>
    <row r="117" spans="15:16" x14ac:dyDescent="0.45">
      <c r="O117" s="3"/>
      <c r="P117" s="3"/>
    </row>
    <row r="118" spans="15:16" x14ac:dyDescent="0.45">
      <c r="O118" s="3"/>
      <c r="P118" s="3"/>
    </row>
    <row r="119" spans="15:16" x14ac:dyDescent="0.45">
      <c r="O119" s="3"/>
      <c r="P119" s="3"/>
    </row>
    <row r="120" spans="15:16" x14ac:dyDescent="0.45">
      <c r="O120" s="3"/>
      <c r="P120" s="3"/>
    </row>
    <row r="121" spans="15:16" x14ac:dyDescent="0.45">
      <c r="O121" s="3"/>
      <c r="P121" s="3"/>
    </row>
    <row r="122" spans="15:16" x14ac:dyDescent="0.45">
      <c r="O122" s="3"/>
      <c r="P122" s="3"/>
    </row>
    <row r="123" spans="15:16" x14ac:dyDescent="0.45">
      <c r="O123" s="3"/>
      <c r="P123" s="3"/>
    </row>
    <row r="124" spans="15:16" x14ac:dyDescent="0.45">
      <c r="O124" s="3"/>
      <c r="P124" s="3"/>
    </row>
    <row r="125" spans="15:16" x14ac:dyDescent="0.45">
      <c r="O125" s="3"/>
      <c r="P125" s="3"/>
    </row>
    <row r="126" spans="15:16" x14ac:dyDescent="0.45">
      <c r="O126" s="3"/>
      <c r="P126" s="3"/>
    </row>
    <row r="127" spans="15:16" x14ac:dyDescent="0.45">
      <c r="O127" s="3"/>
      <c r="P127" s="3"/>
    </row>
    <row r="128" spans="15:16" x14ac:dyDescent="0.45">
      <c r="O128" s="3"/>
      <c r="P128" s="3"/>
    </row>
    <row r="129" spans="15:16" x14ac:dyDescent="0.45">
      <c r="O129" s="3"/>
      <c r="P129" s="3"/>
    </row>
    <row r="130" spans="15:16" x14ac:dyDescent="0.45">
      <c r="O130" s="3"/>
      <c r="P130" s="3"/>
    </row>
    <row r="131" spans="15:16" x14ac:dyDescent="0.45">
      <c r="O131" s="3"/>
      <c r="P131" s="3"/>
    </row>
    <row r="132" spans="15:16" x14ac:dyDescent="0.45">
      <c r="O132" s="3"/>
      <c r="P132" s="3"/>
    </row>
    <row r="133" spans="15:16" x14ac:dyDescent="0.45">
      <c r="O133" s="3"/>
      <c r="P133" s="3"/>
    </row>
    <row r="134" spans="15:16" x14ac:dyDescent="0.45">
      <c r="O134" s="3"/>
      <c r="P134" s="3"/>
    </row>
    <row r="135" spans="15:16" x14ac:dyDescent="0.45">
      <c r="O135" s="3"/>
      <c r="P135" s="3"/>
    </row>
    <row r="136" spans="15:16" x14ac:dyDescent="0.45">
      <c r="O136" s="3"/>
      <c r="P136" s="3"/>
    </row>
    <row r="137" spans="15:16" x14ac:dyDescent="0.45">
      <c r="O137" s="3"/>
      <c r="P137" s="3"/>
    </row>
    <row r="138" spans="15:16" x14ac:dyDescent="0.45">
      <c r="O138" s="3"/>
      <c r="P138" s="3"/>
    </row>
    <row r="139" spans="15:16" x14ac:dyDescent="0.45">
      <c r="O139" s="3"/>
      <c r="P139" s="3"/>
    </row>
    <row r="140" spans="15:16" x14ac:dyDescent="0.45">
      <c r="O140" s="3"/>
      <c r="P140" s="3"/>
    </row>
    <row r="141" spans="15:16" x14ac:dyDescent="0.45">
      <c r="O141" s="3"/>
      <c r="P141" s="3"/>
    </row>
    <row r="142" spans="15:16" x14ac:dyDescent="0.45">
      <c r="O142" s="3"/>
      <c r="P142" s="3"/>
    </row>
    <row r="143" spans="15:16" x14ac:dyDescent="0.45">
      <c r="O143" s="3"/>
      <c r="P143" s="3"/>
    </row>
    <row r="144" spans="15:16" x14ac:dyDescent="0.45">
      <c r="O144" s="3"/>
      <c r="P144" s="3"/>
    </row>
    <row r="145" spans="15:16" x14ac:dyDescent="0.45">
      <c r="O145" s="3"/>
      <c r="P145" s="3"/>
    </row>
    <row r="146" spans="15:16" x14ac:dyDescent="0.45">
      <c r="O146" s="3"/>
      <c r="P146" s="3"/>
    </row>
    <row r="147" spans="15:16" x14ac:dyDescent="0.45">
      <c r="O147" s="3"/>
      <c r="P147" s="3"/>
    </row>
    <row r="148" spans="15:16" x14ac:dyDescent="0.45">
      <c r="O148" s="3"/>
      <c r="P148" s="3"/>
    </row>
    <row r="149" spans="15:16" x14ac:dyDescent="0.45">
      <c r="O149" s="3"/>
      <c r="P149" s="3"/>
    </row>
    <row r="150" spans="15:16" x14ac:dyDescent="0.45">
      <c r="O150" s="3"/>
      <c r="P150" s="3"/>
    </row>
    <row r="151" spans="15:16" x14ac:dyDescent="0.45">
      <c r="O151" s="3"/>
      <c r="P151" s="3"/>
    </row>
    <row r="152" spans="15:16" x14ac:dyDescent="0.45">
      <c r="O152" s="3"/>
      <c r="P152" s="3"/>
    </row>
    <row r="153" spans="15:16" x14ac:dyDescent="0.45">
      <c r="O153" s="3"/>
      <c r="P153" s="3"/>
    </row>
    <row r="154" spans="15:16" x14ac:dyDescent="0.45">
      <c r="O154" s="3"/>
      <c r="P154" s="3"/>
    </row>
    <row r="155" spans="15:16" x14ac:dyDescent="0.45">
      <c r="O155" s="3"/>
      <c r="P155" s="3"/>
    </row>
    <row r="156" spans="15:16" x14ac:dyDescent="0.45">
      <c r="O156" s="3"/>
      <c r="P156" s="3"/>
    </row>
    <row r="157" spans="15:16" x14ac:dyDescent="0.45">
      <c r="O157" s="3"/>
      <c r="P157" s="3"/>
    </row>
    <row r="158" spans="15:16" x14ac:dyDescent="0.45">
      <c r="O158" s="3"/>
      <c r="P158" s="3"/>
    </row>
    <row r="159" spans="15:16" x14ac:dyDescent="0.45">
      <c r="O159" s="3"/>
      <c r="P159" s="3"/>
    </row>
    <row r="160" spans="15:16" x14ac:dyDescent="0.45">
      <c r="O160" s="3"/>
      <c r="P160" s="3"/>
    </row>
    <row r="161" spans="15:16" x14ac:dyDescent="0.45">
      <c r="O161" s="3"/>
      <c r="P161" s="3"/>
    </row>
    <row r="162" spans="15:16" x14ac:dyDescent="0.45">
      <c r="O162" s="3"/>
      <c r="P162" s="3"/>
    </row>
    <row r="163" spans="15:16" x14ac:dyDescent="0.45">
      <c r="O163" s="3"/>
      <c r="P163" s="3"/>
    </row>
    <row r="164" spans="15:16" x14ac:dyDescent="0.45">
      <c r="O164" s="3"/>
      <c r="P164" s="3"/>
    </row>
    <row r="165" spans="15:16" x14ac:dyDescent="0.45">
      <c r="O165" s="3"/>
      <c r="P165" s="3"/>
    </row>
    <row r="166" spans="15:16" x14ac:dyDescent="0.45">
      <c r="O166" s="3"/>
      <c r="P166" s="3"/>
    </row>
    <row r="167" spans="15:16" x14ac:dyDescent="0.45">
      <c r="O167" s="3"/>
      <c r="P167" s="3"/>
    </row>
    <row r="168" spans="15:16" x14ac:dyDescent="0.45">
      <c r="O168" s="3"/>
      <c r="P168" s="3"/>
    </row>
    <row r="169" spans="15:16" x14ac:dyDescent="0.45">
      <c r="O169" s="3"/>
      <c r="P169" s="3"/>
    </row>
    <row r="170" spans="15:16" x14ac:dyDescent="0.45">
      <c r="O170" s="3"/>
      <c r="P170" s="3"/>
    </row>
    <row r="171" spans="15:16" x14ac:dyDescent="0.45">
      <c r="O171" s="3"/>
      <c r="P171" s="3"/>
    </row>
    <row r="172" spans="15:16" x14ac:dyDescent="0.45">
      <c r="O172" s="3"/>
      <c r="P172" s="3"/>
    </row>
    <row r="173" spans="15:16" x14ac:dyDescent="0.45">
      <c r="O173" s="3"/>
      <c r="P173" s="3"/>
    </row>
    <row r="174" spans="15:16" x14ac:dyDescent="0.45">
      <c r="O174" s="3"/>
      <c r="P174" s="3"/>
    </row>
    <row r="175" spans="15:16" x14ac:dyDescent="0.45">
      <c r="O175" s="3"/>
      <c r="P175" s="3"/>
    </row>
    <row r="176" spans="15:16" x14ac:dyDescent="0.45">
      <c r="O176" s="3"/>
      <c r="P176" s="3"/>
    </row>
    <row r="177" spans="15:16" x14ac:dyDescent="0.45">
      <c r="O177" s="3"/>
      <c r="P177" s="3"/>
    </row>
    <row r="178" spans="15:16" x14ac:dyDescent="0.45">
      <c r="O178" s="3"/>
      <c r="P178" s="3"/>
    </row>
    <row r="179" spans="15:16" x14ac:dyDescent="0.45">
      <c r="O179" s="3"/>
      <c r="P179" s="3"/>
    </row>
    <row r="180" spans="15:16" x14ac:dyDescent="0.45">
      <c r="O180" s="3"/>
      <c r="P180" s="3"/>
    </row>
    <row r="181" spans="15:16" x14ac:dyDescent="0.45">
      <c r="O181" s="3"/>
      <c r="P181" s="3"/>
    </row>
    <row r="182" spans="15:16" x14ac:dyDescent="0.45">
      <c r="O182" s="3"/>
      <c r="P182" s="3"/>
    </row>
    <row r="183" spans="15:16" x14ac:dyDescent="0.45">
      <c r="O183" s="3"/>
      <c r="P183" s="3"/>
    </row>
    <row r="184" spans="15:16" x14ac:dyDescent="0.45">
      <c r="O184" s="3"/>
      <c r="P184" s="3"/>
    </row>
    <row r="185" spans="15:16" x14ac:dyDescent="0.45">
      <c r="O185" s="3"/>
      <c r="P185" s="3"/>
    </row>
    <row r="186" spans="15:16" x14ac:dyDescent="0.45">
      <c r="O186" s="3"/>
      <c r="P186" s="3"/>
    </row>
    <row r="187" spans="15:16" x14ac:dyDescent="0.45">
      <c r="O187" s="3"/>
      <c r="P187" s="3"/>
    </row>
    <row r="188" spans="15:16" x14ac:dyDescent="0.45">
      <c r="O188" s="3"/>
      <c r="P188" s="3"/>
    </row>
    <row r="189" spans="15:16" x14ac:dyDescent="0.45">
      <c r="O189" s="3"/>
      <c r="P189" s="3"/>
    </row>
    <row r="190" spans="15:16" x14ac:dyDescent="0.45">
      <c r="O190" s="3"/>
      <c r="P190" s="3"/>
    </row>
    <row r="191" spans="15:16" x14ac:dyDescent="0.45">
      <c r="O191" s="3"/>
      <c r="P191" s="3"/>
    </row>
    <row r="192" spans="15:16" x14ac:dyDescent="0.45">
      <c r="O192" s="3"/>
      <c r="P192" s="3"/>
    </row>
    <row r="193" spans="15:16" x14ac:dyDescent="0.45">
      <c r="O193" s="3"/>
      <c r="P193" s="3"/>
    </row>
    <row r="194" spans="15:16" x14ac:dyDescent="0.45">
      <c r="O194" s="3"/>
      <c r="P194" s="3"/>
    </row>
    <row r="195" spans="15:16" x14ac:dyDescent="0.45">
      <c r="O195" s="3"/>
      <c r="P195" s="3"/>
    </row>
    <row r="196" spans="15:16" x14ac:dyDescent="0.45">
      <c r="O196" s="3"/>
      <c r="P196" s="3"/>
    </row>
    <row r="197" spans="15:16" x14ac:dyDescent="0.45">
      <c r="O197" s="3"/>
      <c r="P197" s="3"/>
    </row>
    <row r="198" spans="15:16" x14ac:dyDescent="0.45">
      <c r="O198" s="3"/>
      <c r="P198" s="3"/>
    </row>
    <row r="199" spans="15:16" x14ac:dyDescent="0.45">
      <c r="O199" s="3"/>
      <c r="P199" s="3"/>
    </row>
    <row r="200" spans="15:16" x14ac:dyDescent="0.45">
      <c r="O200" s="3"/>
      <c r="P200" s="3"/>
    </row>
    <row r="201" spans="15:16" x14ac:dyDescent="0.45">
      <c r="O201" s="3"/>
      <c r="P201" s="3"/>
    </row>
    <row r="202" spans="15:16" x14ac:dyDescent="0.45">
      <c r="O202" s="3"/>
      <c r="P202" s="3"/>
    </row>
    <row r="203" spans="15:16" x14ac:dyDescent="0.45">
      <c r="O203" s="3"/>
      <c r="P203" s="3"/>
    </row>
    <row r="204" spans="15:16" x14ac:dyDescent="0.45">
      <c r="O204" s="3"/>
      <c r="P204" s="3"/>
    </row>
    <row r="205" spans="15:16" x14ac:dyDescent="0.45">
      <c r="O205" s="3"/>
      <c r="P205" s="3"/>
    </row>
    <row r="206" spans="15:16" x14ac:dyDescent="0.45">
      <c r="O206" s="3"/>
      <c r="P206" s="3"/>
    </row>
    <row r="207" spans="15:16" x14ac:dyDescent="0.45">
      <c r="O207" s="3"/>
      <c r="P207" s="3"/>
    </row>
    <row r="208" spans="15:16" x14ac:dyDescent="0.45">
      <c r="O208" s="3"/>
      <c r="P208" s="3"/>
    </row>
    <row r="209" spans="15:16" x14ac:dyDescent="0.45">
      <c r="O209" s="3"/>
      <c r="P209" s="3"/>
    </row>
    <row r="210" spans="15:16" x14ac:dyDescent="0.45">
      <c r="O210" s="3"/>
      <c r="P210" s="3"/>
    </row>
    <row r="211" spans="15:16" x14ac:dyDescent="0.45">
      <c r="O211" s="3"/>
      <c r="P211" s="3"/>
    </row>
    <row r="212" spans="15:16" x14ac:dyDescent="0.45">
      <c r="O212" s="3"/>
      <c r="P212" s="3"/>
    </row>
    <row r="213" spans="15:16" x14ac:dyDescent="0.45">
      <c r="O213" s="3"/>
      <c r="P213" s="3"/>
    </row>
    <row r="214" spans="15:16" x14ac:dyDescent="0.45">
      <c r="O214" s="3"/>
      <c r="P214" s="3"/>
    </row>
    <row r="215" spans="15:16" x14ac:dyDescent="0.45">
      <c r="O215" s="3"/>
      <c r="P215" s="3"/>
    </row>
    <row r="216" spans="15:16" x14ac:dyDescent="0.45">
      <c r="O216" s="3"/>
      <c r="P216" s="3"/>
    </row>
    <row r="217" spans="15:16" x14ac:dyDescent="0.45">
      <c r="O217" s="3"/>
      <c r="P217" s="3"/>
    </row>
    <row r="218" spans="15:16" x14ac:dyDescent="0.45">
      <c r="O218" s="3"/>
      <c r="P218" s="3"/>
    </row>
    <row r="219" spans="15:16" x14ac:dyDescent="0.45">
      <c r="O219" s="3"/>
      <c r="P219" s="3"/>
    </row>
    <row r="220" spans="15:16" x14ac:dyDescent="0.45">
      <c r="O220" s="3"/>
      <c r="P220" s="3"/>
    </row>
    <row r="221" spans="15:16" x14ac:dyDescent="0.45">
      <c r="O221" s="3"/>
      <c r="P221" s="3"/>
    </row>
    <row r="222" spans="15:16" x14ac:dyDescent="0.45">
      <c r="O222" s="3"/>
      <c r="P222" s="3"/>
    </row>
    <row r="223" spans="15:16" x14ac:dyDescent="0.45">
      <c r="O223" s="3"/>
      <c r="P223" s="3"/>
    </row>
    <row r="224" spans="15:16" x14ac:dyDescent="0.45">
      <c r="O224" s="3"/>
      <c r="P224" s="3"/>
    </row>
    <row r="225" spans="15:16" x14ac:dyDescent="0.45">
      <c r="O225" s="3"/>
      <c r="P225" s="3"/>
    </row>
    <row r="226" spans="15:16" x14ac:dyDescent="0.45">
      <c r="O226" s="3"/>
      <c r="P226" s="3"/>
    </row>
    <row r="227" spans="15:16" x14ac:dyDescent="0.45">
      <c r="O227" s="3"/>
      <c r="P227" s="3"/>
    </row>
    <row r="228" spans="15:16" x14ac:dyDescent="0.45">
      <c r="O228" s="3"/>
      <c r="P228" s="3"/>
    </row>
    <row r="229" spans="15:16" x14ac:dyDescent="0.45">
      <c r="O229" s="3"/>
      <c r="P229" s="3"/>
    </row>
    <row r="230" spans="15:16" x14ac:dyDescent="0.45">
      <c r="O230" s="3"/>
      <c r="P230" s="3"/>
    </row>
    <row r="231" spans="15:16" x14ac:dyDescent="0.45">
      <c r="O231" s="3"/>
      <c r="P231" s="3"/>
    </row>
    <row r="232" spans="15:16" x14ac:dyDescent="0.45">
      <c r="O232" s="3"/>
      <c r="P232" s="3"/>
    </row>
    <row r="233" spans="15:16" x14ac:dyDescent="0.45">
      <c r="O233" s="3"/>
      <c r="P233" s="3"/>
    </row>
    <row r="234" spans="15:16" x14ac:dyDescent="0.45">
      <c r="O234" s="3"/>
      <c r="P234" s="3"/>
    </row>
    <row r="235" spans="15:16" x14ac:dyDescent="0.45">
      <c r="O235" s="3"/>
      <c r="P235" s="3"/>
    </row>
    <row r="236" spans="15:16" x14ac:dyDescent="0.45">
      <c r="O236" s="3"/>
      <c r="P236" s="3"/>
    </row>
    <row r="237" spans="15:16" x14ac:dyDescent="0.45">
      <c r="O237" s="3"/>
      <c r="P237" s="3"/>
    </row>
    <row r="238" spans="15:16" x14ac:dyDescent="0.45">
      <c r="O238" s="3"/>
      <c r="P238" s="3"/>
    </row>
    <row r="239" spans="15:16" x14ac:dyDescent="0.45">
      <c r="O239" s="3"/>
      <c r="P239" s="3"/>
    </row>
    <row r="240" spans="15:16" x14ac:dyDescent="0.45">
      <c r="O240" s="3"/>
      <c r="P240" s="3"/>
    </row>
    <row r="241" spans="15:16" x14ac:dyDescent="0.45">
      <c r="O241" s="3"/>
      <c r="P241" s="3"/>
    </row>
    <row r="242" spans="15:16" x14ac:dyDescent="0.45">
      <c r="O242" s="3"/>
      <c r="P242" s="3"/>
    </row>
    <row r="243" spans="15:16" x14ac:dyDescent="0.45">
      <c r="O243" s="3"/>
      <c r="P243" s="3"/>
    </row>
    <row r="244" spans="15:16" x14ac:dyDescent="0.45">
      <c r="O244" s="3"/>
      <c r="P244" s="3"/>
    </row>
    <row r="245" spans="15:16" x14ac:dyDescent="0.45">
      <c r="O245" s="3"/>
      <c r="P245" s="3"/>
    </row>
    <row r="246" spans="15:16" x14ac:dyDescent="0.45">
      <c r="O246" s="3"/>
      <c r="P246" s="3"/>
    </row>
    <row r="247" spans="15:16" x14ac:dyDescent="0.45">
      <c r="O247" s="3"/>
      <c r="P247" s="3"/>
    </row>
    <row r="248" spans="15:16" x14ac:dyDescent="0.45">
      <c r="O248" s="3"/>
      <c r="P248" s="3"/>
    </row>
    <row r="249" spans="15:16" x14ac:dyDescent="0.45">
      <c r="O249" s="3"/>
      <c r="P249" s="3"/>
    </row>
    <row r="250" spans="15:16" x14ac:dyDescent="0.45">
      <c r="O250" s="3"/>
      <c r="P250" s="3"/>
    </row>
    <row r="251" spans="15:16" x14ac:dyDescent="0.45">
      <c r="O251" s="3"/>
      <c r="P251" s="3"/>
    </row>
    <row r="252" spans="15:16" x14ac:dyDescent="0.45">
      <c r="O252" s="3"/>
      <c r="P252" s="3"/>
    </row>
    <row r="253" spans="15:16" x14ac:dyDescent="0.45">
      <c r="O253" s="3"/>
      <c r="P253" s="3"/>
    </row>
    <row r="254" spans="15:16" x14ac:dyDescent="0.45">
      <c r="O254" s="3"/>
      <c r="P254" s="3"/>
    </row>
    <row r="255" spans="15:16" x14ac:dyDescent="0.45">
      <c r="O255" s="3"/>
      <c r="P255" s="3"/>
    </row>
    <row r="256" spans="15:16" x14ac:dyDescent="0.45">
      <c r="O256" s="3"/>
      <c r="P256" s="3"/>
    </row>
    <row r="257" spans="15:16" x14ac:dyDescent="0.45">
      <c r="O257" s="3"/>
      <c r="P257" s="3"/>
    </row>
    <row r="258" spans="15:16" x14ac:dyDescent="0.45">
      <c r="O258" s="3"/>
      <c r="P258" s="3"/>
    </row>
    <row r="259" spans="15:16" x14ac:dyDescent="0.45">
      <c r="O259" s="3"/>
      <c r="P259" s="3"/>
    </row>
    <row r="260" spans="15:16" x14ac:dyDescent="0.45">
      <c r="O260" s="3"/>
      <c r="P260" s="3"/>
    </row>
    <row r="261" spans="15:16" x14ac:dyDescent="0.45">
      <c r="O261" s="3"/>
      <c r="P261" s="3"/>
    </row>
    <row r="262" spans="15:16" x14ac:dyDescent="0.45">
      <c r="O262" s="3"/>
      <c r="P262" s="3"/>
    </row>
    <row r="263" spans="15:16" x14ac:dyDescent="0.45">
      <c r="O263" s="3"/>
      <c r="P263" s="3"/>
    </row>
    <row r="264" spans="15:16" x14ac:dyDescent="0.45">
      <c r="O264" s="3"/>
      <c r="P264" s="3"/>
    </row>
    <row r="265" spans="15:16" x14ac:dyDescent="0.45">
      <c r="O265" s="3"/>
      <c r="P265" s="3"/>
    </row>
    <row r="266" spans="15:16" x14ac:dyDescent="0.45">
      <c r="O266" s="3"/>
      <c r="P266" s="3"/>
    </row>
    <row r="267" spans="15:16" x14ac:dyDescent="0.45">
      <c r="O267" s="3"/>
      <c r="P267" s="3"/>
    </row>
    <row r="268" spans="15:16" x14ac:dyDescent="0.45">
      <c r="O268" s="3"/>
      <c r="P268" s="3"/>
    </row>
    <row r="269" spans="15:16" x14ac:dyDescent="0.45">
      <c r="O269" s="3"/>
      <c r="P269" s="3"/>
    </row>
    <row r="270" spans="15:16" x14ac:dyDescent="0.45">
      <c r="O270" s="3"/>
      <c r="P270" s="3"/>
    </row>
    <row r="271" spans="15:16" x14ac:dyDescent="0.45">
      <c r="O271" s="3"/>
      <c r="P271" s="3"/>
    </row>
    <row r="272" spans="15:16" x14ac:dyDescent="0.45">
      <c r="O272" s="3"/>
      <c r="P272" s="3"/>
    </row>
    <row r="273" spans="15:16" x14ac:dyDescent="0.45">
      <c r="O273" s="3"/>
      <c r="P273" s="3"/>
    </row>
    <row r="274" spans="15:16" x14ac:dyDescent="0.45">
      <c r="O274" s="3"/>
      <c r="P274" s="3"/>
    </row>
    <row r="275" spans="15:16" x14ac:dyDescent="0.45">
      <c r="O275" s="3"/>
      <c r="P275" s="3"/>
    </row>
    <row r="276" spans="15:16" x14ac:dyDescent="0.45">
      <c r="O276" s="3"/>
      <c r="P276" s="3"/>
    </row>
    <row r="277" spans="15:16" x14ac:dyDescent="0.45">
      <c r="O277" s="3"/>
      <c r="P277" s="3"/>
    </row>
    <row r="278" spans="15:16" x14ac:dyDescent="0.45">
      <c r="O278" s="3"/>
      <c r="P278" s="3"/>
    </row>
    <row r="279" spans="15:16" x14ac:dyDescent="0.45">
      <c r="O279" s="3"/>
      <c r="P279" s="3"/>
    </row>
    <row r="280" spans="15:16" x14ac:dyDescent="0.45">
      <c r="O280" s="3"/>
      <c r="P280" s="3"/>
    </row>
    <row r="281" spans="15:16" x14ac:dyDescent="0.45">
      <c r="O281" s="3"/>
      <c r="P281" s="3"/>
    </row>
    <row r="282" spans="15:16" x14ac:dyDescent="0.45">
      <c r="O282" s="3"/>
      <c r="P282" s="3"/>
    </row>
    <row r="283" spans="15:16" x14ac:dyDescent="0.45">
      <c r="O283" s="3"/>
      <c r="P283" s="3"/>
    </row>
    <row r="284" spans="15:16" x14ac:dyDescent="0.45">
      <c r="O284" s="3"/>
      <c r="P284" s="3"/>
    </row>
    <row r="285" spans="15:16" x14ac:dyDescent="0.45">
      <c r="O285" s="3"/>
      <c r="P285" s="3"/>
    </row>
    <row r="286" spans="15:16" x14ac:dyDescent="0.45">
      <c r="O286" s="3"/>
      <c r="P286" s="3"/>
    </row>
    <row r="287" spans="15:16" x14ac:dyDescent="0.45">
      <c r="O287" s="3"/>
      <c r="P287" s="3"/>
    </row>
    <row r="288" spans="15:16" x14ac:dyDescent="0.45">
      <c r="O288" s="3"/>
      <c r="P288" s="3"/>
    </row>
    <row r="289" spans="15:16" x14ac:dyDescent="0.45">
      <c r="O289" s="3"/>
      <c r="P289" s="3"/>
    </row>
    <row r="290" spans="15:16" x14ac:dyDescent="0.45">
      <c r="O290" s="3"/>
      <c r="P290" s="3"/>
    </row>
    <row r="291" spans="15:16" x14ac:dyDescent="0.45">
      <c r="O291" s="3"/>
      <c r="P291" s="3"/>
    </row>
    <row r="292" spans="15:16" x14ac:dyDescent="0.45">
      <c r="O292" s="3"/>
      <c r="P292" s="3"/>
    </row>
    <row r="293" spans="15:16" x14ac:dyDescent="0.45">
      <c r="O293" s="3"/>
      <c r="P293" s="3"/>
    </row>
    <row r="294" spans="15:16" x14ac:dyDescent="0.45">
      <c r="O294" s="3"/>
      <c r="P294" s="3"/>
    </row>
    <row r="295" spans="15:16" x14ac:dyDescent="0.45">
      <c r="O295" s="3"/>
      <c r="P295" s="3"/>
    </row>
    <row r="296" spans="15:16" x14ac:dyDescent="0.45">
      <c r="O296" s="3"/>
      <c r="P296" s="3"/>
    </row>
    <row r="297" spans="15:16" x14ac:dyDescent="0.45">
      <c r="O297" s="3"/>
      <c r="P297" s="3"/>
    </row>
    <row r="298" spans="15:16" x14ac:dyDescent="0.45">
      <c r="O298" s="3"/>
      <c r="P298" s="3"/>
    </row>
    <row r="299" spans="15:16" x14ac:dyDescent="0.45">
      <c r="O299" s="3"/>
      <c r="P299" s="3"/>
    </row>
    <row r="300" spans="15:16" x14ac:dyDescent="0.45">
      <c r="O300" s="3"/>
      <c r="P300" s="3"/>
    </row>
    <row r="301" spans="15:16" x14ac:dyDescent="0.45">
      <c r="O301" s="3"/>
      <c r="P301" s="3"/>
    </row>
    <row r="302" spans="15:16" x14ac:dyDescent="0.45">
      <c r="O302" s="3"/>
      <c r="P302" s="3"/>
    </row>
    <row r="303" spans="15:16" x14ac:dyDescent="0.45">
      <c r="O303" s="3"/>
      <c r="P303" s="3"/>
    </row>
    <row r="304" spans="15:16" x14ac:dyDescent="0.45">
      <c r="O304" s="3"/>
      <c r="P304" s="3"/>
    </row>
    <row r="305" spans="15:16" x14ac:dyDescent="0.45">
      <c r="O305" s="3"/>
      <c r="P305" s="3"/>
    </row>
    <row r="306" spans="15:16" x14ac:dyDescent="0.45">
      <c r="O306" s="3"/>
      <c r="P306" s="3"/>
    </row>
    <row r="307" spans="15:16" x14ac:dyDescent="0.45">
      <c r="O307" s="3"/>
      <c r="P307" s="3"/>
    </row>
    <row r="308" spans="15:16" x14ac:dyDescent="0.45">
      <c r="O308" s="3"/>
      <c r="P308" s="3"/>
    </row>
    <row r="309" spans="15:16" x14ac:dyDescent="0.45">
      <c r="O309" s="3"/>
      <c r="P309" s="3"/>
    </row>
    <row r="310" spans="15:16" x14ac:dyDescent="0.45">
      <c r="O310" s="3"/>
      <c r="P310" s="3"/>
    </row>
    <row r="311" spans="15:16" x14ac:dyDescent="0.45">
      <c r="O311" s="3"/>
      <c r="P311" s="3"/>
    </row>
    <row r="312" spans="15:16" x14ac:dyDescent="0.45">
      <c r="O312" s="3"/>
      <c r="P312" s="3"/>
    </row>
    <row r="313" spans="15:16" x14ac:dyDescent="0.45">
      <c r="O313" s="3"/>
      <c r="P313" s="3"/>
    </row>
    <row r="314" spans="15:16" x14ac:dyDescent="0.45">
      <c r="O314" s="3"/>
      <c r="P314" s="3"/>
    </row>
    <row r="315" spans="15:16" x14ac:dyDescent="0.45">
      <c r="O315" s="3"/>
      <c r="P315" s="3"/>
    </row>
    <row r="316" spans="15:16" x14ac:dyDescent="0.45">
      <c r="O316" s="3"/>
      <c r="P316" s="3"/>
    </row>
    <row r="317" spans="15:16" x14ac:dyDescent="0.45">
      <c r="O317" s="3"/>
      <c r="P317" s="3"/>
    </row>
    <row r="318" spans="15:16" x14ac:dyDescent="0.45">
      <c r="O318" s="3"/>
      <c r="P318" s="3"/>
    </row>
    <row r="319" spans="15:16" x14ac:dyDescent="0.45">
      <c r="O319" s="3"/>
      <c r="P319" s="3"/>
    </row>
    <row r="320" spans="15:16" x14ac:dyDescent="0.45">
      <c r="O320" s="3"/>
      <c r="P320" s="3"/>
    </row>
    <row r="321" spans="15:16" x14ac:dyDescent="0.45">
      <c r="O321" s="3"/>
      <c r="P321" s="3"/>
    </row>
    <row r="322" spans="15:16" x14ac:dyDescent="0.45">
      <c r="O322" s="3"/>
      <c r="P322" s="3"/>
    </row>
    <row r="323" spans="15:16" x14ac:dyDescent="0.45">
      <c r="O323" s="3"/>
      <c r="P323" s="3"/>
    </row>
    <row r="324" spans="15:16" x14ac:dyDescent="0.45">
      <c r="O324" s="3"/>
      <c r="P324" s="3"/>
    </row>
    <row r="325" spans="15:16" x14ac:dyDescent="0.45">
      <c r="O325" s="3"/>
      <c r="P325" s="3"/>
    </row>
    <row r="326" spans="15:16" x14ac:dyDescent="0.45">
      <c r="O326" s="3"/>
      <c r="P326" s="3"/>
    </row>
    <row r="327" spans="15:16" x14ac:dyDescent="0.45">
      <c r="O327" s="3"/>
      <c r="P327" s="3"/>
    </row>
    <row r="328" spans="15:16" x14ac:dyDescent="0.45">
      <c r="O328" s="3"/>
      <c r="P328" s="3"/>
    </row>
    <row r="329" spans="15:16" x14ac:dyDescent="0.45">
      <c r="O329" s="3"/>
      <c r="P329" s="3"/>
    </row>
    <row r="330" spans="15:16" x14ac:dyDescent="0.45">
      <c r="O330" s="3"/>
      <c r="P330" s="3"/>
    </row>
    <row r="331" spans="15:16" x14ac:dyDescent="0.45">
      <c r="O331" s="3"/>
      <c r="P331" s="3"/>
    </row>
    <row r="332" spans="15:16" x14ac:dyDescent="0.45">
      <c r="O332" s="3"/>
      <c r="P332" s="3"/>
    </row>
    <row r="333" spans="15:16" x14ac:dyDescent="0.45">
      <c r="O333" s="3"/>
      <c r="P333" s="3"/>
    </row>
    <row r="334" spans="15:16" x14ac:dyDescent="0.45">
      <c r="O334" s="3"/>
      <c r="P334" s="3"/>
    </row>
    <row r="335" spans="15:16" x14ac:dyDescent="0.45">
      <c r="O335" s="3"/>
      <c r="P335" s="3"/>
    </row>
    <row r="336" spans="15:16" x14ac:dyDescent="0.45">
      <c r="O336" s="3"/>
      <c r="P336" s="3"/>
    </row>
    <row r="337" spans="15:16" x14ac:dyDescent="0.45">
      <c r="O337" s="3"/>
      <c r="P337" s="3"/>
    </row>
    <row r="338" spans="15:16" x14ac:dyDescent="0.45">
      <c r="O338" s="3"/>
      <c r="P338" s="3"/>
    </row>
    <row r="339" spans="15:16" x14ac:dyDescent="0.45">
      <c r="O339" s="3"/>
      <c r="P339" s="3"/>
    </row>
    <row r="340" spans="15:16" x14ac:dyDescent="0.45">
      <c r="O340" s="3"/>
      <c r="P340" s="3"/>
    </row>
    <row r="341" spans="15:16" x14ac:dyDescent="0.45">
      <c r="O341" s="3"/>
      <c r="P341" s="3"/>
    </row>
    <row r="342" spans="15:16" x14ac:dyDescent="0.45">
      <c r="O342" s="3"/>
      <c r="P342" s="3"/>
    </row>
    <row r="343" spans="15:16" x14ac:dyDescent="0.45">
      <c r="O343" s="3"/>
      <c r="P343" s="3"/>
    </row>
    <row r="344" spans="15:16" x14ac:dyDescent="0.45">
      <c r="O344" s="3"/>
      <c r="P344" s="3"/>
    </row>
    <row r="345" spans="15:16" x14ac:dyDescent="0.45">
      <c r="O345" s="3"/>
      <c r="P345" s="3"/>
    </row>
    <row r="346" spans="15:16" x14ac:dyDescent="0.45">
      <c r="O346" s="3"/>
      <c r="P346" s="3"/>
    </row>
    <row r="347" spans="15:16" x14ac:dyDescent="0.45">
      <c r="O347" s="3"/>
      <c r="P347" s="3"/>
    </row>
    <row r="348" spans="15:16" x14ac:dyDescent="0.45">
      <c r="O348" s="3"/>
      <c r="P348" s="3"/>
    </row>
    <row r="349" spans="15:16" x14ac:dyDescent="0.45">
      <c r="O349" s="3"/>
      <c r="P349" s="3"/>
    </row>
    <row r="350" spans="15:16" x14ac:dyDescent="0.45">
      <c r="O350" s="3"/>
      <c r="P350" s="3"/>
    </row>
    <row r="351" spans="15:16" x14ac:dyDescent="0.45">
      <c r="O351" s="3"/>
      <c r="P351" s="3"/>
    </row>
    <row r="352" spans="15:16" x14ac:dyDescent="0.45">
      <c r="O352" s="3"/>
      <c r="P352" s="3"/>
    </row>
    <row r="353" spans="15:16" x14ac:dyDescent="0.45">
      <c r="O353" s="3"/>
      <c r="P353" s="3"/>
    </row>
    <row r="354" spans="15:16" x14ac:dyDescent="0.45">
      <c r="O354" s="3"/>
      <c r="P354" s="3"/>
    </row>
    <row r="355" spans="15:16" x14ac:dyDescent="0.45">
      <c r="O355" s="3"/>
      <c r="P355" s="3"/>
    </row>
    <row r="356" spans="15:16" x14ac:dyDescent="0.45">
      <c r="O356" s="3"/>
      <c r="P356" s="3"/>
    </row>
    <row r="357" spans="15:16" x14ac:dyDescent="0.45">
      <c r="O357" s="3"/>
      <c r="P357" s="3"/>
    </row>
    <row r="358" spans="15:16" x14ac:dyDescent="0.45">
      <c r="O358" s="3"/>
      <c r="P358" s="3"/>
    </row>
    <row r="359" spans="15:16" x14ac:dyDescent="0.45">
      <c r="O359" s="3"/>
      <c r="P359" s="3"/>
    </row>
    <row r="360" spans="15:16" x14ac:dyDescent="0.45">
      <c r="O360" s="3"/>
      <c r="P360" s="3"/>
    </row>
    <row r="361" spans="15:16" x14ac:dyDescent="0.45">
      <c r="O361" s="3"/>
      <c r="P361" s="3"/>
    </row>
    <row r="362" spans="15:16" x14ac:dyDescent="0.45">
      <c r="O362" s="3"/>
      <c r="P362" s="3"/>
    </row>
    <row r="363" spans="15:16" x14ac:dyDescent="0.45">
      <c r="O363" s="3"/>
      <c r="P363" s="3"/>
    </row>
    <row r="364" spans="15:16" x14ac:dyDescent="0.45">
      <c r="O364" s="3"/>
      <c r="P364" s="3"/>
    </row>
    <row r="365" spans="15:16" x14ac:dyDescent="0.45">
      <c r="O365" s="3"/>
      <c r="P365" s="3"/>
    </row>
    <row r="366" spans="15:16" x14ac:dyDescent="0.45">
      <c r="O366" s="3"/>
      <c r="P366" s="3"/>
    </row>
    <row r="367" spans="15:16" x14ac:dyDescent="0.45">
      <c r="O367" s="3"/>
      <c r="P367" s="3"/>
    </row>
    <row r="368" spans="15:16" x14ac:dyDescent="0.45">
      <c r="O368" s="3"/>
      <c r="P368" s="3"/>
    </row>
    <row r="369" spans="15:16" x14ac:dyDescent="0.45">
      <c r="O369" s="3"/>
      <c r="P369" s="3"/>
    </row>
    <row r="370" spans="15:16" x14ac:dyDescent="0.45">
      <c r="O370" s="3"/>
      <c r="P370" s="3"/>
    </row>
    <row r="371" spans="15:16" x14ac:dyDescent="0.45">
      <c r="O371" s="3"/>
      <c r="P371" s="3"/>
    </row>
    <row r="372" spans="15:16" x14ac:dyDescent="0.45">
      <c r="O372" s="3"/>
      <c r="P372" s="3"/>
    </row>
    <row r="373" spans="15:16" x14ac:dyDescent="0.45">
      <c r="O373" s="3"/>
      <c r="P373" s="3"/>
    </row>
    <row r="374" spans="15:16" x14ac:dyDescent="0.45">
      <c r="O374" s="3"/>
      <c r="P374" s="3"/>
    </row>
    <row r="375" spans="15:16" x14ac:dyDescent="0.45">
      <c r="O375" s="3"/>
      <c r="P375" s="3"/>
    </row>
    <row r="376" spans="15:16" x14ac:dyDescent="0.45">
      <c r="O376" s="3"/>
      <c r="P376" s="3"/>
    </row>
    <row r="377" spans="15:16" x14ac:dyDescent="0.45">
      <c r="O377" s="3"/>
      <c r="P377" s="3"/>
    </row>
    <row r="378" spans="15:16" x14ac:dyDescent="0.45">
      <c r="O378" s="3"/>
      <c r="P378" s="3"/>
    </row>
    <row r="379" spans="15:16" x14ac:dyDescent="0.45">
      <c r="O379" s="3"/>
      <c r="P379" s="3"/>
    </row>
    <row r="380" spans="15:16" x14ac:dyDescent="0.45">
      <c r="O380" s="3"/>
      <c r="P380" s="3"/>
    </row>
    <row r="381" spans="15:16" x14ac:dyDescent="0.45">
      <c r="O381" s="3"/>
      <c r="P381" s="3"/>
    </row>
    <row r="382" spans="15:16" x14ac:dyDescent="0.45">
      <c r="O382" s="3"/>
      <c r="P382" s="3"/>
    </row>
    <row r="383" spans="15:16" x14ac:dyDescent="0.45">
      <c r="O383" s="3"/>
      <c r="P383" s="3"/>
    </row>
    <row r="384" spans="15:16" x14ac:dyDescent="0.45">
      <c r="O384" s="3"/>
      <c r="P384" s="3"/>
    </row>
    <row r="385" spans="15:16" x14ac:dyDescent="0.45">
      <c r="O385" s="3"/>
      <c r="P385" s="3"/>
    </row>
    <row r="386" spans="15:16" x14ac:dyDescent="0.45">
      <c r="O386" s="3"/>
      <c r="P386" s="3"/>
    </row>
    <row r="387" spans="15:16" x14ac:dyDescent="0.45">
      <c r="O387" s="3"/>
      <c r="P387" s="3"/>
    </row>
    <row r="388" spans="15:16" x14ac:dyDescent="0.45">
      <c r="O388" s="3"/>
      <c r="P388" s="3"/>
    </row>
    <row r="389" spans="15:16" x14ac:dyDescent="0.45">
      <c r="O389" s="3"/>
      <c r="P389" s="3"/>
    </row>
    <row r="390" spans="15:16" x14ac:dyDescent="0.45">
      <c r="O390" s="3"/>
      <c r="P390" s="3"/>
    </row>
    <row r="391" spans="15:16" x14ac:dyDescent="0.45">
      <c r="O391" s="3"/>
      <c r="P391" s="3"/>
    </row>
    <row r="392" spans="15:16" x14ac:dyDescent="0.45">
      <c r="O392" s="3"/>
      <c r="P392" s="3"/>
    </row>
    <row r="393" spans="15:16" x14ac:dyDescent="0.45">
      <c r="O393" s="3"/>
      <c r="P393" s="3"/>
    </row>
    <row r="394" spans="15:16" x14ac:dyDescent="0.45">
      <c r="O394" s="3"/>
      <c r="P394" s="3"/>
    </row>
    <row r="395" spans="15:16" x14ac:dyDescent="0.45">
      <c r="O395" s="3"/>
      <c r="P395" s="3"/>
    </row>
    <row r="396" spans="15:16" x14ac:dyDescent="0.45">
      <c r="O396" s="3"/>
      <c r="P396" s="3"/>
    </row>
    <row r="397" spans="15:16" x14ac:dyDescent="0.45">
      <c r="O397" s="3"/>
      <c r="P397" s="3"/>
    </row>
    <row r="398" spans="15:16" x14ac:dyDescent="0.45">
      <c r="O398" s="3"/>
      <c r="P398" s="3"/>
    </row>
    <row r="399" spans="15:16" x14ac:dyDescent="0.45">
      <c r="O399" s="3"/>
      <c r="P399" s="3"/>
    </row>
    <row r="400" spans="15:16" x14ac:dyDescent="0.45">
      <c r="O400" s="3"/>
      <c r="P400" s="3"/>
    </row>
    <row r="401" spans="15:16" x14ac:dyDescent="0.45">
      <c r="O401" s="3"/>
      <c r="P401" s="3"/>
    </row>
    <row r="402" spans="15:16" x14ac:dyDescent="0.45">
      <c r="O402" s="3"/>
      <c r="P402" s="3"/>
    </row>
    <row r="403" spans="15:16" x14ac:dyDescent="0.45">
      <c r="O403" s="3"/>
      <c r="P403" s="3"/>
    </row>
    <row r="404" spans="15:16" x14ac:dyDescent="0.45">
      <c r="O404" s="3"/>
      <c r="P404" s="3"/>
    </row>
    <row r="405" spans="15:16" x14ac:dyDescent="0.45">
      <c r="O405" s="3"/>
      <c r="P405" s="3"/>
    </row>
    <row r="406" spans="15:16" x14ac:dyDescent="0.45">
      <c r="O406" s="3"/>
      <c r="P406" s="3"/>
    </row>
    <row r="407" spans="15:16" x14ac:dyDescent="0.45">
      <c r="O407" s="3"/>
      <c r="P407" s="3"/>
    </row>
    <row r="408" spans="15:16" x14ac:dyDescent="0.45">
      <c r="O408" s="3"/>
      <c r="P408" s="3"/>
    </row>
    <row r="409" spans="15:16" x14ac:dyDescent="0.45">
      <c r="O409" s="3"/>
      <c r="P409" s="3"/>
    </row>
    <row r="410" spans="15:16" x14ac:dyDescent="0.45">
      <c r="O410" s="3"/>
      <c r="P410" s="3"/>
    </row>
    <row r="411" spans="15:16" x14ac:dyDescent="0.45">
      <c r="O411" s="3"/>
      <c r="P411" s="3"/>
    </row>
    <row r="412" spans="15:16" x14ac:dyDescent="0.45">
      <c r="O412" s="3"/>
      <c r="P412" s="3"/>
    </row>
    <row r="413" spans="15:16" x14ac:dyDescent="0.45">
      <c r="O413" s="3"/>
      <c r="P413" s="3"/>
    </row>
    <row r="414" spans="15:16" x14ac:dyDescent="0.45">
      <c r="O414" s="3"/>
      <c r="P414" s="3"/>
    </row>
    <row r="415" spans="15:16" x14ac:dyDescent="0.45">
      <c r="O415" s="3"/>
      <c r="P415" s="3"/>
    </row>
    <row r="416" spans="15:16" x14ac:dyDescent="0.45">
      <c r="O416" s="3"/>
      <c r="P416" s="3"/>
    </row>
    <row r="417" spans="15:16" x14ac:dyDescent="0.45">
      <c r="O417" s="3"/>
      <c r="P417" s="3"/>
    </row>
    <row r="418" spans="15:16" x14ac:dyDescent="0.45">
      <c r="O418" s="3"/>
      <c r="P418" s="3"/>
    </row>
    <row r="419" spans="15:16" x14ac:dyDescent="0.45">
      <c r="O419" s="3"/>
      <c r="P419" s="3"/>
    </row>
    <row r="420" spans="15:16" x14ac:dyDescent="0.45">
      <c r="O420" s="3"/>
      <c r="P420" s="3"/>
    </row>
    <row r="421" spans="15:16" x14ac:dyDescent="0.45">
      <c r="O421" s="3"/>
      <c r="P421" s="3"/>
    </row>
    <row r="422" spans="15:16" x14ac:dyDescent="0.45">
      <c r="O422" s="3"/>
      <c r="P422" s="3"/>
    </row>
    <row r="423" spans="15:16" x14ac:dyDescent="0.45">
      <c r="O423" s="3"/>
      <c r="P423" s="3"/>
    </row>
    <row r="424" spans="15:16" x14ac:dyDescent="0.45">
      <c r="O424" s="3"/>
      <c r="P424" s="3"/>
    </row>
    <row r="425" spans="15:16" x14ac:dyDescent="0.45">
      <c r="O425" s="3"/>
      <c r="P425" s="3"/>
    </row>
    <row r="426" spans="15:16" x14ac:dyDescent="0.45">
      <c r="O426" s="3"/>
      <c r="P426" s="3"/>
    </row>
    <row r="427" spans="15:16" x14ac:dyDescent="0.45">
      <c r="O427" s="3"/>
      <c r="P427" s="3"/>
    </row>
    <row r="428" spans="15:16" x14ac:dyDescent="0.45">
      <c r="O428" s="3"/>
      <c r="P428" s="3"/>
    </row>
    <row r="429" spans="15:16" x14ac:dyDescent="0.45">
      <c r="O429" s="3"/>
      <c r="P429" s="3"/>
    </row>
    <row r="430" spans="15:16" x14ac:dyDescent="0.45">
      <c r="O430" s="3"/>
      <c r="P430" s="3"/>
    </row>
    <row r="431" spans="15:16" x14ac:dyDescent="0.45">
      <c r="O431" s="3"/>
      <c r="P431" s="3"/>
    </row>
    <row r="432" spans="15:16" x14ac:dyDescent="0.45">
      <c r="O432" s="3"/>
      <c r="P432" s="3"/>
    </row>
    <row r="433" spans="15:16" x14ac:dyDescent="0.45">
      <c r="O433" s="3"/>
      <c r="P433" s="3"/>
    </row>
    <row r="434" spans="15:16" x14ac:dyDescent="0.45">
      <c r="O434" s="3"/>
      <c r="P434" s="3"/>
    </row>
    <row r="435" spans="15:16" x14ac:dyDescent="0.45">
      <c r="O435" s="3"/>
      <c r="P435" s="3"/>
    </row>
    <row r="436" spans="15:16" x14ac:dyDescent="0.45">
      <c r="O436" s="3"/>
      <c r="P436" s="3"/>
    </row>
    <row r="437" spans="15:16" x14ac:dyDescent="0.45">
      <c r="O437" s="3"/>
      <c r="P437" s="3"/>
    </row>
    <row r="438" spans="15:16" x14ac:dyDescent="0.45">
      <c r="O438" s="3"/>
      <c r="P438" s="3"/>
    </row>
    <row r="439" spans="15:16" x14ac:dyDescent="0.45">
      <c r="O439" s="3"/>
      <c r="P439" s="3"/>
    </row>
    <row r="440" spans="15:16" x14ac:dyDescent="0.45">
      <c r="O440" s="3"/>
      <c r="P440" s="3"/>
    </row>
    <row r="441" spans="15:16" x14ac:dyDescent="0.45">
      <c r="O441" s="3"/>
      <c r="P441" s="3"/>
    </row>
    <row r="442" spans="15:16" x14ac:dyDescent="0.45">
      <c r="O442" s="3"/>
      <c r="P442" s="3"/>
    </row>
    <row r="443" spans="15:16" x14ac:dyDescent="0.45">
      <c r="O443" s="3"/>
      <c r="P443" s="3"/>
    </row>
    <row r="444" spans="15:16" x14ac:dyDescent="0.45">
      <c r="O444" s="3"/>
      <c r="P444" s="3"/>
    </row>
    <row r="445" spans="15:16" x14ac:dyDescent="0.45">
      <c r="O445" s="3"/>
      <c r="P445" s="3"/>
    </row>
    <row r="446" spans="15:16" x14ac:dyDescent="0.45">
      <c r="O446" s="3"/>
      <c r="P446" s="3"/>
    </row>
    <row r="447" spans="15:16" x14ac:dyDescent="0.45">
      <c r="O447" s="3"/>
      <c r="P447" s="3"/>
    </row>
    <row r="448" spans="15:16" x14ac:dyDescent="0.45">
      <c r="O448" s="3"/>
      <c r="P448" s="3"/>
    </row>
    <row r="449" spans="15:16" x14ac:dyDescent="0.45">
      <c r="O449" s="3"/>
      <c r="P449" s="3"/>
    </row>
    <row r="450" spans="15:16" x14ac:dyDescent="0.45">
      <c r="O450" s="3"/>
      <c r="P450" s="3"/>
    </row>
    <row r="451" spans="15:16" x14ac:dyDescent="0.45">
      <c r="O451" s="3"/>
      <c r="P451" s="3"/>
    </row>
    <row r="452" spans="15:16" x14ac:dyDescent="0.45">
      <c r="O452" s="3"/>
      <c r="P452" s="3"/>
    </row>
    <row r="453" spans="15:16" x14ac:dyDescent="0.45">
      <c r="O453" s="3"/>
      <c r="P453" s="3"/>
    </row>
    <row r="454" spans="15:16" x14ac:dyDescent="0.45">
      <c r="O454" s="3"/>
      <c r="P454" s="3"/>
    </row>
    <row r="455" spans="15:16" x14ac:dyDescent="0.45">
      <c r="O455" s="3"/>
      <c r="P455" s="3"/>
    </row>
    <row r="456" spans="15:16" x14ac:dyDescent="0.45">
      <c r="O456" s="3"/>
      <c r="P456" s="3"/>
    </row>
    <row r="457" spans="15:16" x14ac:dyDescent="0.45">
      <c r="O457" s="3"/>
      <c r="P457" s="3"/>
    </row>
    <row r="458" spans="15:16" x14ac:dyDescent="0.45">
      <c r="O458" s="3"/>
      <c r="P458" s="3"/>
    </row>
    <row r="459" spans="15:16" x14ac:dyDescent="0.45">
      <c r="O459" s="3"/>
      <c r="P459" s="3"/>
    </row>
    <row r="460" spans="15:16" x14ac:dyDescent="0.45">
      <c r="O460" s="3"/>
      <c r="P460" s="3"/>
    </row>
    <row r="461" spans="15:16" x14ac:dyDescent="0.45">
      <c r="O461" s="3"/>
      <c r="P461" s="3"/>
    </row>
    <row r="462" spans="15:16" x14ac:dyDescent="0.45">
      <c r="O462" s="3"/>
      <c r="P462" s="3"/>
    </row>
    <row r="463" spans="15:16" x14ac:dyDescent="0.45">
      <c r="O463" s="3"/>
      <c r="P463" s="3"/>
    </row>
    <row r="464" spans="15:16" x14ac:dyDescent="0.45">
      <c r="O464" s="3"/>
      <c r="P464" s="3"/>
    </row>
    <row r="465" spans="15:16" x14ac:dyDescent="0.45">
      <c r="O465" s="3"/>
      <c r="P465" s="3"/>
    </row>
    <row r="466" spans="15:16" x14ac:dyDescent="0.45">
      <c r="O466" s="3"/>
      <c r="P466" s="3"/>
    </row>
    <row r="467" spans="15:16" x14ac:dyDescent="0.45">
      <c r="O467" s="3"/>
      <c r="P467" s="3"/>
    </row>
    <row r="468" spans="15:16" x14ac:dyDescent="0.45">
      <c r="O468" s="3"/>
      <c r="P468" s="3"/>
    </row>
    <row r="469" spans="15:16" x14ac:dyDescent="0.45">
      <c r="O469" s="3"/>
      <c r="P469" s="3"/>
    </row>
  </sheetData>
  <autoFilter ref="A3:T3" xr:uid="{9FD301BF-AE2C-4A86-B257-8C1C7095EB6F}"/>
  <mergeCells count="6">
    <mergeCell ref="R2:T2"/>
    <mergeCell ref="D2:F2"/>
    <mergeCell ref="B2:C2"/>
    <mergeCell ref="A1:P1"/>
    <mergeCell ref="G2:N2"/>
    <mergeCell ref="O2:Q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
  <sheetViews>
    <sheetView zoomScale="60" zoomScaleNormal="60" workbookViewId="0">
      <selection sqref="A1:XFD1048576"/>
    </sheetView>
  </sheetViews>
  <sheetFormatPr defaultColWidth="27.7265625" defaultRowHeight="14.5" x14ac:dyDescent="0.35"/>
  <sheetData>
    <row r="1" spans="1:10" s="5" customFormat="1" ht="15.5" x14ac:dyDescent="0.35">
      <c r="A1" s="112" t="s">
        <v>55</v>
      </c>
      <c r="B1" s="112"/>
      <c r="C1" s="112"/>
      <c r="D1" s="112"/>
      <c r="E1" s="112"/>
      <c r="F1" s="112"/>
      <c r="G1" s="112"/>
      <c r="H1" s="18"/>
      <c r="I1" s="18"/>
      <c r="J1" s="18"/>
    </row>
    <row r="2" spans="1:10" s="19" customFormat="1" ht="15.5" x14ac:dyDescent="0.35">
      <c r="A2" s="7"/>
      <c r="B2" s="111" t="s">
        <v>26</v>
      </c>
      <c r="C2" s="111"/>
      <c r="D2" s="111" t="s">
        <v>6</v>
      </c>
      <c r="E2" s="111"/>
      <c r="F2" s="111"/>
      <c r="G2" s="15"/>
      <c r="H2" s="111" t="s">
        <v>23</v>
      </c>
      <c r="I2" s="111"/>
      <c r="J2" s="111"/>
    </row>
    <row r="3" spans="1:10" s="19" customFormat="1" ht="33.75" customHeight="1" x14ac:dyDescent="0.35">
      <c r="A3" s="15" t="s">
        <v>30</v>
      </c>
      <c r="B3" s="15" t="s">
        <v>1</v>
      </c>
      <c r="C3" s="15" t="s">
        <v>2</v>
      </c>
      <c r="D3" s="15" t="s">
        <v>31</v>
      </c>
      <c r="E3" s="15" t="s">
        <v>28</v>
      </c>
      <c r="F3" s="15" t="s">
        <v>29</v>
      </c>
      <c r="G3" s="15" t="s">
        <v>10</v>
      </c>
      <c r="H3" s="14" t="s">
        <v>15</v>
      </c>
      <c r="I3" s="13" t="s">
        <v>16</v>
      </c>
      <c r="J3" s="13" t="s">
        <v>21</v>
      </c>
    </row>
  </sheetData>
  <mergeCells count="4">
    <mergeCell ref="A1:G1"/>
    <mergeCell ref="B2:C2"/>
    <mergeCell ref="D2:F2"/>
    <mergeCell ref="H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3"/>
  <sheetViews>
    <sheetView topLeftCell="F1" zoomScale="60" zoomScaleNormal="60" workbookViewId="0">
      <selection activeCell="P12" sqref="P12"/>
    </sheetView>
  </sheetViews>
  <sheetFormatPr defaultColWidth="23.26953125" defaultRowHeight="21.75" customHeight="1" x14ac:dyDescent="0.35"/>
  <cols>
    <col min="1" max="16384" width="23.26953125" style="34"/>
  </cols>
  <sheetData>
    <row r="1" spans="1:17" ht="21.75" customHeight="1" x14ac:dyDescent="0.35">
      <c r="A1" s="113" t="s">
        <v>54</v>
      </c>
      <c r="B1" s="113"/>
      <c r="C1" s="113"/>
      <c r="D1" s="113"/>
      <c r="E1" s="113"/>
      <c r="F1" s="113"/>
      <c r="G1" s="113"/>
      <c r="H1" s="113"/>
      <c r="I1" s="113"/>
      <c r="J1" s="113"/>
      <c r="K1" s="113"/>
      <c r="L1" s="113"/>
      <c r="M1" s="113"/>
      <c r="N1" s="113"/>
      <c r="O1" s="24"/>
      <c r="P1" s="24"/>
      <c r="Q1" s="29"/>
    </row>
    <row r="2" spans="1:17" ht="21.75" customHeight="1" x14ac:dyDescent="0.35">
      <c r="A2" s="25"/>
      <c r="B2" s="25"/>
      <c r="C2" s="114" t="s">
        <v>26</v>
      </c>
      <c r="D2" s="114"/>
      <c r="E2" s="14"/>
      <c r="F2" s="30"/>
      <c r="G2" s="30"/>
      <c r="H2" s="30"/>
      <c r="I2" s="114"/>
      <c r="J2" s="114"/>
      <c r="K2" s="114" t="s">
        <v>76</v>
      </c>
      <c r="L2" s="114"/>
      <c r="M2" s="114"/>
      <c r="N2" s="11"/>
      <c r="O2" s="114"/>
      <c r="P2" s="114"/>
      <c r="Q2" s="31"/>
    </row>
    <row r="3" spans="1:17" s="32" customFormat="1" ht="30" customHeight="1" thickBot="1" x14ac:dyDescent="0.4">
      <c r="A3" s="14" t="s">
        <v>57</v>
      </c>
      <c r="B3" s="14" t="s">
        <v>58</v>
      </c>
      <c r="C3" s="14" t="s">
        <v>59</v>
      </c>
      <c r="D3" s="14" t="s">
        <v>60</v>
      </c>
      <c r="E3" s="14" t="s">
        <v>70</v>
      </c>
      <c r="F3" s="14" t="s">
        <v>61</v>
      </c>
      <c r="G3" s="14" t="s">
        <v>62</v>
      </c>
      <c r="H3" s="14" t="s">
        <v>65</v>
      </c>
      <c r="I3" s="14" t="s">
        <v>4</v>
      </c>
      <c r="J3" s="14" t="s">
        <v>5</v>
      </c>
      <c r="K3" s="14" t="s">
        <v>66</v>
      </c>
      <c r="L3" s="26" t="s">
        <v>67</v>
      </c>
      <c r="M3" s="14" t="s">
        <v>78</v>
      </c>
      <c r="N3" s="27" t="s">
        <v>68</v>
      </c>
      <c r="O3" s="14" t="s">
        <v>77</v>
      </c>
      <c r="P3" s="14" t="s">
        <v>21</v>
      </c>
      <c r="Q3" s="28" t="s">
        <v>73</v>
      </c>
    </row>
    <row r="4" spans="1:17" ht="21.75" customHeight="1" x14ac:dyDescent="0.35">
      <c r="A4" s="32"/>
      <c r="B4" s="32"/>
      <c r="C4" s="32"/>
      <c r="D4" s="32"/>
      <c r="E4" s="32"/>
      <c r="F4" s="33" t="s">
        <v>63</v>
      </c>
      <c r="G4" s="33" t="s">
        <v>64</v>
      </c>
      <c r="H4" s="33"/>
      <c r="I4" s="32"/>
      <c r="J4" s="32"/>
      <c r="K4" s="32"/>
      <c r="L4" s="32"/>
      <c r="M4" s="33" t="s">
        <v>75</v>
      </c>
      <c r="N4" s="33" t="s">
        <v>69</v>
      </c>
      <c r="O4" s="33" t="s">
        <v>71</v>
      </c>
      <c r="P4" s="33" t="s">
        <v>72</v>
      </c>
      <c r="Q4" s="33" t="s">
        <v>74</v>
      </c>
    </row>
    <row r="5" spans="1:17" ht="21.75" customHeight="1" x14ac:dyDescent="0.35">
      <c r="A5" s="32"/>
      <c r="B5" s="32"/>
      <c r="C5" s="32" t="s">
        <v>237</v>
      </c>
      <c r="D5" s="32"/>
      <c r="E5" s="32"/>
      <c r="F5" s="35"/>
      <c r="G5" s="35"/>
      <c r="H5" s="107" t="s">
        <v>245</v>
      </c>
      <c r="I5" s="32"/>
      <c r="J5" s="32"/>
      <c r="K5" s="32"/>
      <c r="L5" s="32"/>
      <c r="M5" s="32"/>
      <c r="N5" s="32"/>
      <c r="O5" s="32"/>
      <c r="P5" s="32"/>
    </row>
    <row r="6" spans="1:17" ht="21.75" customHeight="1" x14ac:dyDescent="0.35">
      <c r="C6" s="34" t="s">
        <v>238</v>
      </c>
      <c r="H6" s="32" t="s">
        <v>246</v>
      </c>
    </row>
    <row r="7" spans="1:17" ht="21.75" customHeight="1" x14ac:dyDescent="0.35">
      <c r="C7" s="34" t="s">
        <v>155</v>
      </c>
      <c r="H7" s="32" t="s">
        <v>245</v>
      </c>
    </row>
    <row r="8" spans="1:17" ht="21.75" customHeight="1" x14ac:dyDescent="0.35">
      <c r="C8" s="34" t="s">
        <v>239</v>
      </c>
      <c r="H8" s="32" t="s">
        <v>247</v>
      </c>
    </row>
    <row r="9" spans="1:17" ht="21.75" customHeight="1" x14ac:dyDescent="0.35">
      <c r="C9" s="34" t="s">
        <v>240</v>
      </c>
      <c r="H9" s="32" t="s">
        <v>248</v>
      </c>
    </row>
    <row r="10" spans="1:17" ht="21.75" customHeight="1" x14ac:dyDescent="0.35">
      <c r="C10" s="34" t="s">
        <v>241</v>
      </c>
      <c r="H10" s="32" t="s">
        <v>249</v>
      </c>
    </row>
    <row r="11" spans="1:17" ht="21.75" customHeight="1" x14ac:dyDescent="0.35">
      <c r="C11" s="34" t="s">
        <v>242</v>
      </c>
      <c r="H11" s="32" t="s">
        <v>250</v>
      </c>
    </row>
    <row r="12" spans="1:17" ht="21.75" customHeight="1" x14ac:dyDescent="0.35">
      <c r="C12" s="34" t="s">
        <v>243</v>
      </c>
      <c r="H12" s="32" t="s">
        <v>250</v>
      </c>
    </row>
    <row r="13" spans="1:17" ht="21.75" customHeight="1" x14ac:dyDescent="0.35">
      <c r="C13" s="34" t="s">
        <v>244</v>
      </c>
      <c r="H13" s="32" t="s">
        <v>251</v>
      </c>
    </row>
  </sheetData>
  <mergeCells count="5">
    <mergeCell ref="A1:N1"/>
    <mergeCell ref="C2:D2"/>
    <mergeCell ref="I2:J2"/>
    <mergeCell ref="O2:P2"/>
    <mergeCell ref="K2:M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
  <sheetViews>
    <sheetView zoomScale="60" zoomScaleNormal="60" workbookViewId="0">
      <selection activeCell="A17" sqref="A17"/>
    </sheetView>
  </sheetViews>
  <sheetFormatPr defaultColWidth="27.7265625" defaultRowHeight="14.5" x14ac:dyDescent="0.35"/>
  <sheetData>
    <row r="1" spans="1:9" s="5" customFormat="1" ht="15.5" x14ac:dyDescent="0.35">
      <c r="A1" s="112" t="s">
        <v>79</v>
      </c>
      <c r="B1" s="112"/>
      <c r="C1" s="112"/>
      <c r="D1" s="112"/>
      <c r="E1" s="112"/>
      <c r="F1" s="112"/>
      <c r="G1" s="112"/>
      <c r="H1" s="112"/>
      <c r="I1" s="18"/>
    </row>
    <row r="2" spans="1:9" s="19" customFormat="1" ht="15.5" x14ac:dyDescent="0.35">
      <c r="A2" s="7"/>
      <c r="B2" s="111" t="s">
        <v>26</v>
      </c>
      <c r="C2" s="111"/>
      <c r="D2" s="111" t="s">
        <v>84</v>
      </c>
      <c r="E2" s="111"/>
      <c r="F2" s="111" t="s">
        <v>83</v>
      </c>
      <c r="G2" s="111"/>
      <c r="H2" s="15"/>
      <c r="I2" s="15" t="s">
        <v>23</v>
      </c>
    </row>
    <row r="3" spans="1:9" s="19" customFormat="1" ht="33.75" customHeight="1" x14ac:dyDescent="0.35">
      <c r="A3" s="15" t="s">
        <v>80</v>
      </c>
      <c r="B3" s="15" t="s">
        <v>1</v>
      </c>
      <c r="C3" s="15" t="s">
        <v>2</v>
      </c>
      <c r="D3" s="15" t="s">
        <v>82</v>
      </c>
      <c r="E3" s="15" t="s">
        <v>81</v>
      </c>
      <c r="F3" s="15" t="s">
        <v>3</v>
      </c>
      <c r="G3" s="15" t="s">
        <v>29</v>
      </c>
      <c r="H3" s="15" t="s">
        <v>85</v>
      </c>
      <c r="I3" s="13" t="s">
        <v>16</v>
      </c>
    </row>
    <row r="4" spans="1:9" ht="145" x14ac:dyDescent="0.35">
      <c r="H4" s="42" t="s">
        <v>86</v>
      </c>
      <c r="I4" s="41" t="s">
        <v>87</v>
      </c>
    </row>
    <row r="7" spans="1:9" x14ac:dyDescent="0.35">
      <c r="H7" s="41"/>
    </row>
  </sheetData>
  <mergeCells count="4">
    <mergeCell ref="A1:H1"/>
    <mergeCell ref="B2:C2"/>
    <mergeCell ref="D2:E2"/>
    <mergeCell ref="F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
  <sheetViews>
    <sheetView zoomScale="60" zoomScaleNormal="60" workbookViewId="0">
      <selection activeCell="G4" sqref="G4"/>
    </sheetView>
  </sheetViews>
  <sheetFormatPr defaultColWidth="27.7265625" defaultRowHeight="14.5" x14ac:dyDescent="0.35"/>
  <cols>
    <col min="1" max="16384" width="27.7265625" style="22"/>
  </cols>
  <sheetData>
    <row r="1" spans="1:7" s="5" customFormat="1" ht="15.5" x14ac:dyDescent="0.35">
      <c r="A1" s="112" t="s">
        <v>91</v>
      </c>
      <c r="B1" s="112"/>
      <c r="C1" s="112"/>
      <c r="D1" s="112"/>
      <c r="E1" s="112"/>
      <c r="F1" s="112"/>
      <c r="G1" s="18"/>
    </row>
    <row r="2" spans="1:7" s="19" customFormat="1" ht="15.5" x14ac:dyDescent="0.35">
      <c r="A2" s="7"/>
      <c r="B2" s="111" t="s">
        <v>26</v>
      </c>
      <c r="C2" s="111"/>
      <c r="D2" s="15"/>
      <c r="E2" s="114" t="s">
        <v>92</v>
      </c>
      <c r="F2" s="114"/>
      <c r="G2" s="15" t="s">
        <v>23</v>
      </c>
    </row>
    <row r="3" spans="1:7" s="19" customFormat="1" ht="33.75" customHeight="1" x14ac:dyDescent="0.35">
      <c r="A3" s="15" t="s">
        <v>88</v>
      </c>
      <c r="B3" s="15" t="s">
        <v>1</v>
      </c>
      <c r="C3" s="15" t="s">
        <v>2</v>
      </c>
      <c r="D3" s="23" t="s">
        <v>89</v>
      </c>
      <c r="E3" s="15" t="s">
        <v>82</v>
      </c>
      <c r="F3" s="15" t="s">
        <v>29</v>
      </c>
      <c r="G3" s="14" t="s">
        <v>93</v>
      </c>
    </row>
    <row r="4" spans="1:7" ht="409.5" x14ac:dyDescent="0.35">
      <c r="D4" s="43" t="s">
        <v>90</v>
      </c>
      <c r="G4" s="44" t="s">
        <v>87</v>
      </c>
    </row>
  </sheetData>
  <mergeCells count="3">
    <mergeCell ref="A1:F1"/>
    <mergeCell ref="B2:C2"/>
    <mergeCell ref="E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
  <sheetViews>
    <sheetView zoomScale="62" workbookViewId="0">
      <selection activeCell="H9" sqref="H9"/>
    </sheetView>
  </sheetViews>
  <sheetFormatPr defaultColWidth="29" defaultRowHeight="15.5" x14ac:dyDescent="0.35"/>
  <cols>
    <col min="1" max="16384" width="29" style="34"/>
  </cols>
  <sheetData>
    <row r="1" spans="1:16" s="5" customFormat="1" x14ac:dyDescent="0.35">
      <c r="A1" s="115" t="s">
        <v>32</v>
      </c>
      <c r="B1" s="115"/>
      <c r="C1" s="115"/>
      <c r="D1" s="115"/>
      <c r="E1" s="115"/>
      <c r="F1" s="115"/>
      <c r="G1" s="115"/>
      <c r="H1" s="115"/>
      <c r="I1" s="115"/>
      <c r="J1" s="115"/>
      <c r="K1" s="115"/>
      <c r="L1" s="115"/>
      <c r="M1" s="7"/>
      <c r="N1" s="7"/>
      <c r="O1" s="18"/>
      <c r="P1" s="18"/>
    </row>
    <row r="2" spans="1:16" s="19" customFormat="1" x14ac:dyDescent="0.35">
      <c r="A2" s="7"/>
      <c r="B2" s="111" t="s">
        <v>33</v>
      </c>
      <c r="C2" s="111"/>
      <c r="D2" s="111" t="s">
        <v>47</v>
      </c>
      <c r="E2" s="111"/>
      <c r="F2" s="111"/>
      <c r="G2" s="111"/>
      <c r="H2" s="111" t="s">
        <v>48</v>
      </c>
      <c r="I2" s="111"/>
      <c r="J2" s="111"/>
      <c r="K2" s="111"/>
      <c r="L2" s="111"/>
      <c r="M2" s="15"/>
      <c r="N2" s="15"/>
      <c r="O2" s="111"/>
      <c r="P2" s="111"/>
    </row>
    <row r="3" spans="1:16" s="20" customFormat="1" ht="37.5" customHeight="1" x14ac:dyDescent="0.35">
      <c r="A3" s="15" t="s">
        <v>34</v>
      </c>
      <c r="B3" s="15" t="s">
        <v>45</v>
      </c>
      <c r="C3" s="15" t="s">
        <v>36</v>
      </c>
      <c r="D3" s="15" t="s">
        <v>1</v>
      </c>
      <c r="E3" s="15" t="s">
        <v>2</v>
      </c>
      <c r="F3" s="15" t="s">
        <v>10</v>
      </c>
      <c r="G3" s="15" t="s">
        <v>35</v>
      </c>
      <c r="H3" s="15" t="s">
        <v>37</v>
      </c>
      <c r="I3" s="15" t="s">
        <v>46</v>
      </c>
      <c r="J3" s="15" t="s">
        <v>38</v>
      </c>
      <c r="K3" s="15" t="s">
        <v>49</v>
      </c>
      <c r="L3" s="15" t="s">
        <v>50</v>
      </c>
      <c r="M3" s="15" t="s">
        <v>39</v>
      </c>
      <c r="N3" s="15" t="s">
        <v>27</v>
      </c>
      <c r="O3" s="14" t="s">
        <v>16</v>
      </c>
      <c r="P3" s="14" t="s">
        <v>40</v>
      </c>
    </row>
    <row r="4" spans="1:16" ht="108.5" x14ac:dyDescent="0.35">
      <c r="B4" s="36"/>
      <c r="C4" s="36"/>
      <c r="D4" s="33" t="s">
        <v>44</v>
      </c>
      <c r="O4" s="33" t="s">
        <v>41</v>
      </c>
      <c r="P4" s="33" t="s">
        <v>42</v>
      </c>
    </row>
    <row r="5" spans="1:16" x14ac:dyDescent="0.35">
      <c r="O5" s="37"/>
      <c r="P5" s="37"/>
    </row>
    <row r="6" spans="1:16" x14ac:dyDescent="0.35">
      <c r="O6" s="38"/>
      <c r="P6" s="38"/>
    </row>
    <row r="7" spans="1:16" x14ac:dyDescent="0.35">
      <c r="O7" s="37"/>
      <c r="P7" s="37"/>
    </row>
  </sheetData>
  <mergeCells count="5">
    <mergeCell ref="A1:L1"/>
    <mergeCell ref="O2:P2"/>
    <mergeCell ref="B2:C2"/>
    <mergeCell ref="H2:L2"/>
    <mergeCell ref="D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473"/>
  <sheetViews>
    <sheetView zoomScale="60" zoomScaleNormal="60" workbookViewId="0">
      <selection activeCell="F13" sqref="F13"/>
    </sheetView>
  </sheetViews>
  <sheetFormatPr defaultColWidth="39.453125" defaultRowHeight="15.5" x14ac:dyDescent="0.35"/>
  <cols>
    <col min="1" max="16384" width="39.453125" style="34"/>
  </cols>
  <sheetData>
    <row r="1" spans="1:24" s="5" customFormat="1" x14ac:dyDescent="0.35">
      <c r="A1" s="112" t="s">
        <v>120</v>
      </c>
      <c r="B1" s="112"/>
      <c r="C1" s="112"/>
      <c r="D1" s="112"/>
      <c r="E1" s="112"/>
      <c r="F1" s="112"/>
      <c r="G1" s="112"/>
      <c r="H1" s="112"/>
      <c r="I1" s="112"/>
      <c r="J1" s="112"/>
      <c r="K1" s="112"/>
      <c r="L1" s="112"/>
      <c r="M1" s="112"/>
      <c r="N1" s="18"/>
      <c r="O1" s="18"/>
      <c r="P1" s="18"/>
      <c r="Q1" s="18"/>
      <c r="R1" s="49"/>
      <c r="S1" s="49"/>
      <c r="T1" s="49"/>
      <c r="U1" s="49"/>
      <c r="V1" s="49"/>
      <c r="W1" s="49"/>
      <c r="X1" s="49"/>
    </row>
    <row r="2" spans="1:24" s="19" customFormat="1" ht="31" x14ac:dyDescent="0.35">
      <c r="A2" s="114" t="s">
        <v>121</v>
      </c>
      <c r="B2" s="114"/>
      <c r="C2" s="114"/>
      <c r="D2" s="114"/>
      <c r="E2" s="114"/>
      <c r="F2" s="114"/>
      <c r="G2" s="114"/>
      <c r="H2" s="114"/>
      <c r="I2" s="114"/>
      <c r="J2" s="114"/>
      <c r="K2" s="21"/>
      <c r="L2" s="21"/>
      <c r="M2" s="21"/>
      <c r="N2" s="21"/>
      <c r="O2" s="21"/>
      <c r="P2" s="21"/>
      <c r="Q2" s="21"/>
      <c r="R2" s="8" t="s">
        <v>118</v>
      </c>
      <c r="S2" s="8"/>
      <c r="T2" s="8"/>
      <c r="U2" s="8"/>
      <c r="V2" s="8"/>
      <c r="W2" s="14" t="s">
        <v>117</v>
      </c>
      <c r="X2" s="6"/>
    </row>
    <row r="3" spans="1:24" s="19" customFormat="1" ht="31.5" thickBot="1" x14ac:dyDescent="0.4">
      <c r="A3" s="15" t="s">
        <v>94</v>
      </c>
      <c r="B3" s="15" t="s">
        <v>95</v>
      </c>
      <c r="C3" s="15" t="s">
        <v>96</v>
      </c>
      <c r="D3" s="15" t="s">
        <v>97</v>
      </c>
      <c r="E3" s="15" t="s">
        <v>98</v>
      </c>
      <c r="F3" s="15" t="s">
        <v>99</v>
      </c>
      <c r="G3" s="15" t="s">
        <v>100</v>
      </c>
      <c r="H3" s="39" t="s">
        <v>101</v>
      </c>
      <c r="I3" s="39" t="s">
        <v>102</v>
      </c>
      <c r="J3" s="27" t="s">
        <v>103</v>
      </c>
      <c r="K3" s="15" t="s">
        <v>104</v>
      </c>
      <c r="L3" s="14" t="s">
        <v>4</v>
      </c>
      <c r="M3" s="45" t="s">
        <v>5</v>
      </c>
      <c r="N3" s="14" t="s">
        <v>105</v>
      </c>
      <c r="O3" s="14" t="s">
        <v>106</v>
      </c>
      <c r="P3" s="14" t="s">
        <v>107</v>
      </c>
      <c r="Q3" s="14" t="s">
        <v>108</v>
      </c>
      <c r="R3" s="6" t="s">
        <v>109</v>
      </c>
      <c r="S3" s="6" t="s">
        <v>110</v>
      </c>
      <c r="T3" s="6" t="s">
        <v>111</v>
      </c>
      <c r="U3" s="6" t="s">
        <v>112</v>
      </c>
      <c r="V3" s="6" t="s">
        <v>113</v>
      </c>
      <c r="W3" s="14" t="s">
        <v>114</v>
      </c>
      <c r="X3" s="6" t="s">
        <v>115</v>
      </c>
    </row>
    <row r="4" spans="1:24" ht="93" x14ac:dyDescent="0.35">
      <c r="F4" s="33" t="s">
        <v>119</v>
      </c>
      <c r="L4" s="46"/>
      <c r="M4" s="47"/>
      <c r="N4" s="36"/>
      <c r="O4" s="47"/>
      <c r="P4" s="47"/>
      <c r="Q4" s="47"/>
      <c r="X4" s="32" t="s">
        <v>116</v>
      </c>
    </row>
    <row r="5" spans="1:24" x14ac:dyDescent="0.35">
      <c r="M5" s="32"/>
    </row>
    <row r="6" spans="1:24" x14ac:dyDescent="0.35">
      <c r="M6" s="47"/>
    </row>
    <row r="8" spans="1:24" x14ac:dyDescent="0.35">
      <c r="L8" s="47"/>
    </row>
    <row r="9" spans="1:24" x14ac:dyDescent="0.35">
      <c r="L9" s="47"/>
    </row>
    <row r="10" spans="1:24" x14ac:dyDescent="0.35">
      <c r="L10" s="47"/>
    </row>
    <row r="11" spans="1:24" x14ac:dyDescent="0.35">
      <c r="L11" s="32"/>
      <c r="M11" s="48"/>
    </row>
    <row r="12" spans="1:24" x14ac:dyDescent="0.35">
      <c r="L12" s="32"/>
      <c r="M12" s="48"/>
    </row>
    <row r="13" spans="1:24" x14ac:dyDescent="0.35">
      <c r="L13" s="32"/>
      <c r="M13" s="32"/>
    </row>
    <row r="14" spans="1:24" x14ac:dyDescent="0.35">
      <c r="L14" s="32"/>
      <c r="M14" s="32"/>
    </row>
    <row r="15" spans="1:24" x14ac:dyDescent="0.35">
      <c r="L15" s="32"/>
      <c r="M15" s="32"/>
    </row>
    <row r="16" spans="1:24" x14ac:dyDescent="0.35">
      <c r="L16" s="32"/>
      <c r="M16" s="32"/>
    </row>
    <row r="17" spans="12:13" x14ac:dyDescent="0.35">
      <c r="L17" s="32"/>
      <c r="M17" s="32"/>
    </row>
    <row r="18" spans="12:13" x14ac:dyDescent="0.35">
      <c r="L18" s="32"/>
      <c r="M18" s="32"/>
    </row>
    <row r="19" spans="12:13" x14ac:dyDescent="0.35">
      <c r="L19" s="32"/>
      <c r="M19" s="32"/>
    </row>
    <row r="20" spans="12:13" x14ac:dyDescent="0.35">
      <c r="L20" s="32"/>
      <c r="M20" s="32"/>
    </row>
    <row r="21" spans="12:13" x14ac:dyDescent="0.35">
      <c r="L21" s="32"/>
      <c r="M21" s="32"/>
    </row>
    <row r="22" spans="12:13" x14ac:dyDescent="0.35">
      <c r="L22" s="32"/>
      <c r="M22" s="32"/>
    </row>
    <row r="23" spans="12:13" x14ac:dyDescent="0.35">
      <c r="L23" s="32"/>
      <c r="M23" s="32"/>
    </row>
    <row r="24" spans="12:13" x14ac:dyDescent="0.35">
      <c r="L24" s="32"/>
      <c r="M24" s="32"/>
    </row>
    <row r="25" spans="12:13" x14ac:dyDescent="0.35">
      <c r="L25" s="32"/>
      <c r="M25" s="32"/>
    </row>
    <row r="26" spans="12:13" x14ac:dyDescent="0.35">
      <c r="L26" s="32"/>
      <c r="M26" s="32"/>
    </row>
    <row r="27" spans="12:13" x14ac:dyDescent="0.35">
      <c r="L27" s="32"/>
      <c r="M27" s="32"/>
    </row>
    <row r="28" spans="12:13" x14ac:dyDescent="0.35">
      <c r="L28" s="32"/>
      <c r="M28" s="32"/>
    </row>
    <row r="29" spans="12:13" x14ac:dyDescent="0.35">
      <c r="L29" s="32"/>
      <c r="M29" s="32"/>
    </row>
    <row r="30" spans="12:13" x14ac:dyDescent="0.35">
      <c r="L30" s="32"/>
      <c r="M30" s="32"/>
    </row>
    <row r="31" spans="12:13" x14ac:dyDescent="0.35">
      <c r="L31" s="32"/>
      <c r="M31" s="32"/>
    </row>
    <row r="32" spans="12:13" x14ac:dyDescent="0.35">
      <c r="L32" s="32"/>
      <c r="M32" s="32"/>
    </row>
    <row r="33" spans="12:13" x14ac:dyDescent="0.35">
      <c r="L33" s="32"/>
      <c r="M33" s="32"/>
    </row>
    <row r="34" spans="12:13" x14ac:dyDescent="0.35">
      <c r="L34" s="32"/>
      <c r="M34" s="32"/>
    </row>
    <row r="35" spans="12:13" x14ac:dyDescent="0.35">
      <c r="L35" s="32"/>
      <c r="M35" s="32"/>
    </row>
    <row r="36" spans="12:13" x14ac:dyDescent="0.35">
      <c r="L36" s="32"/>
      <c r="M36" s="32"/>
    </row>
    <row r="37" spans="12:13" x14ac:dyDescent="0.35">
      <c r="L37" s="32"/>
      <c r="M37" s="32"/>
    </row>
    <row r="38" spans="12:13" x14ac:dyDescent="0.35">
      <c r="L38" s="32"/>
      <c r="M38" s="32"/>
    </row>
    <row r="39" spans="12:13" x14ac:dyDescent="0.35">
      <c r="L39" s="32"/>
      <c r="M39" s="32"/>
    </row>
    <row r="40" spans="12:13" x14ac:dyDescent="0.35">
      <c r="L40" s="32"/>
      <c r="M40" s="32"/>
    </row>
    <row r="41" spans="12:13" x14ac:dyDescent="0.35">
      <c r="L41" s="32"/>
      <c r="M41" s="32"/>
    </row>
    <row r="42" spans="12:13" x14ac:dyDescent="0.35">
      <c r="L42" s="32"/>
      <c r="M42" s="32"/>
    </row>
    <row r="43" spans="12:13" x14ac:dyDescent="0.35">
      <c r="L43" s="32"/>
      <c r="M43" s="32"/>
    </row>
    <row r="44" spans="12:13" x14ac:dyDescent="0.35">
      <c r="L44" s="32"/>
      <c r="M44" s="32"/>
    </row>
    <row r="45" spans="12:13" x14ac:dyDescent="0.35">
      <c r="L45" s="32"/>
      <c r="M45" s="32"/>
    </row>
    <row r="46" spans="12:13" x14ac:dyDescent="0.35">
      <c r="L46" s="32"/>
      <c r="M46" s="32"/>
    </row>
    <row r="47" spans="12:13" x14ac:dyDescent="0.35">
      <c r="L47" s="32"/>
      <c r="M47" s="32"/>
    </row>
    <row r="48" spans="12:13" x14ac:dyDescent="0.35">
      <c r="L48" s="32"/>
      <c r="M48" s="32"/>
    </row>
    <row r="49" spans="12:13" x14ac:dyDescent="0.35">
      <c r="L49" s="32"/>
      <c r="M49" s="32"/>
    </row>
    <row r="50" spans="12:13" x14ac:dyDescent="0.35">
      <c r="L50" s="32"/>
      <c r="M50" s="32"/>
    </row>
    <row r="51" spans="12:13" x14ac:dyDescent="0.35">
      <c r="L51" s="32"/>
      <c r="M51" s="32"/>
    </row>
    <row r="52" spans="12:13" x14ac:dyDescent="0.35">
      <c r="L52" s="32"/>
      <c r="M52" s="32"/>
    </row>
    <row r="53" spans="12:13" x14ac:dyDescent="0.35">
      <c r="L53" s="32"/>
      <c r="M53" s="32"/>
    </row>
    <row r="54" spans="12:13" x14ac:dyDescent="0.35">
      <c r="L54" s="32"/>
      <c r="M54" s="32"/>
    </row>
    <row r="55" spans="12:13" x14ac:dyDescent="0.35">
      <c r="L55" s="32"/>
      <c r="M55" s="32"/>
    </row>
    <row r="56" spans="12:13" x14ac:dyDescent="0.35">
      <c r="L56" s="32"/>
      <c r="M56" s="32"/>
    </row>
    <row r="57" spans="12:13" x14ac:dyDescent="0.35">
      <c r="L57" s="32"/>
      <c r="M57" s="32"/>
    </row>
    <row r="58" spans="12:13" x14ac:dyDescent="0.35">
      <c r="L58" s="32"/>
      <c r="M58" s="32"/>
    </row>
    <row r="59" spans="12:13" x14ac:dyDescent="0.35">
      <c r="L59" s="32"/>
      <c r="M59" s="32"/>
    </row>
    <row r="60" spans="12:13" x14ac:dyDescent="0.35">
      <c r="L60" s="32"/>
      <c r="M60" s="32"/>
    </row>
    <row r="61" spans="12:13" x14ac:dyDescent="0.35">
      <c r="L61" s="32"/>
      <c r="M61" s="32"/>
    </row>
    <row r="62" spans="12:13" x14ac:dyDescent="0.35">
      <c r="L62" s="32"/>
      <c r="M62" s="32"/>
    </row>
    <row r="63" spans="12:13" x14ac:dyDescent="0.35">
      <c r="L63" s="32"/>
      <c r="M63" s="32"/>
    </row>
    <row r="64" spans="12:13" x14ac:dyDescent="0.35">
      <c r="L64" s="32"/>
      <c r="M64" s="32"/>
    </row>
    <row r="65" spans="12:13" x14ac:dyDescent="0.35">
      <c r="L65" s="32"/>
      <c r="M65" s="32"/>
    </row>
    <row r="66" spans="12:13" x14ac:dyDescent="0.35">
      <c r="L66" s="32"/>
      <c r="M66" s="32"/>
    </row>
    <row r="67" spans="12:13" x14ac:dyDescent="0.35">
      <c r="L67" s="32"/>
      <c r="M67" s="32"/>
    </row>
    <row r="68" spans="12:13" x14ac:dyDescent="0.35">
      <c r="L68" s="32"/>
      <c r="M68" s="32"/>
    </row>
    <row r="69" spans="12:13" x14ac:dyDescent="0.35">
      <c r="L69" s="32"/>
      <c r="M69" s="32"/>
    </row>
    <row r="70" spans="12:13" x14ac:dyDescent="0.35">
      <c r="L70" s="32"/>
      <c r="M70" s="32"/>
    </row>
    <row r="71" spans="12:13" x14ac:dyDescent="0.35">
      <c r="L71" s="32"/>
      <c r="M71" s="32"/>
    </row>
    <row r="72" spans="12:13" x14ac:dyDescent="0.35">
      <c r="L72" s="32"/>
      <c r="M72" s="32"/>
    </row>
    <row r="73" spans="12:13" x14ac:dyDescent="0.35">
      <c r="L73" s="32"/>
      <c r="M73" s="32"/>
    </row>
    <row r="74" spans="12:13" x14ac:dyDescent="0.35">
      <c r="L74" s="32"/>
      <c r="M74" s="32"/>
    </row>
    <row r="75" spans="12:13" x14ac:dyDescent="0.35">
      <c r="L75" s="32"/>
      <c r="M75" s="32"/>
    </row>
    <row r="76" spans="12:13" x14ac:dyDescent="0.35">
      <c r="L76" s="32"/>
      <c r="M76" s="32"/>
    </row>
    <row r="77" spans="12:13" x14ac:dyDescent="0.35">
      <c r="L77" s="32"/>
      <c r="M77" s="32"/>
    </row>
    <row r="78" spans="12:13" x14ac:dyDescent="0.35">
      <c r="L78" s="32"/>
      <c r="M78" s="32"/>
    </row>
    <row r="79" spans="12:13" x14ac:dyDescent="0.35">
      <c r="L79" s="32"/>
      <c r="M79" s="32"/>
    </row>
    <row r="80" spans="12:13" x14ac:dyDescent="0.35">
      <c r="L80" s="32"/>
      <c r="M80" s="32"/>
    </row>
    <row r="81" spans="12:13" x14ac:dyDescent="0.35">
      <c r="L81" s="32"/>
      <c r="M81" s="32"/>
    </row>
    <row r="82" spans="12:13" x14ac:dyDescent="0.35">
      <c r="L82" s="32"/>
      <c r="M82" s="32"/>
    </row>
    <row r="83" spans="12:13" x14ac:dyDescent="0.35">
      <c r="L83" s="32"/>
      <c r="M83" s="32"/>
    </row>
    <row r="84" spans="12:13" x14ac:dyDescent="0.35">
      <c r="L84" s="32"/>
      <c r="M84" s="32"/>
    </row>
    <row r="85" spans="12:13" x14ac:dyDescent="0.35">
      <c r="L85" s="32"/>
      <c r="M85" s="32"/>
    </row>
    <row r="86" spans="12:13" x14ac:dyDescent="0.35">
      <c r="L86" s="32"/>
      <c r="M86" s="32"/>
    </row>
    <row r="87" spans="12:13" x14ac:dyDescent="0.35">
      <c r="L87" s="32"/>
      <c r="M87" s="32"/>
    </row>
    <row r="88" spans="12:13" x14ac:dyDescent="0.35">
      <c r="L88" s="32"/>
      <c r="M88" s="32"/>
    </row>
    <row r="89" spans="12:13" x14ac:dyDescent="0.35">
      <c r="L89" s="32"/>
      <c r="M89" s="32"/>
    </row>
    <row r="90" spans="12:13" x14ac:dyDescent="0.35">
      <c r="L90" s="32"/>
      <c r="M90" s="32"/>
    </row>
    <row r="91" spans="12:13" x14ac:dyDescent="0.35">
      <c r="L91" s="32"/>
      <c r="M91" s="32"/>
    </row>
    <row r="92" spans="12:13" x14ac:dyDescent="0.35">
      <c r="L92" s="32"/>
      <c r="M92" s="32"/>
    </row>
    <row r="93" spans="12:13" x14ac:dyDescent="0.35">
      <c r="L93" s="32"/>
      <c r="M93" s="32"/>
    </row>
    <row r="94" spans="12:13" x14ac:dyDescent="0.35">
      <c r="L94" s="32"/>
      <c r="M94" s="32"/>
    </row>
    <row r="95" spans="12:13" x14ac:dyDescent="0.35">
      <c r="L95" s="32"/>
      <c r="M95" s="32"/>
    </row>
    <row r="96" spans="12:13" x14ac:dyDescent="0.35">
      <c r="L96" s="32"/>
      <c r="M96" s="32"/>
    </row>
    <row r="97" spans="12:13" x14ac:dyDescent="0.35">
      <c r="L97" s="32"/>
      <c r="M97" s="32"/>
    </row>
    <row r="98" spans="12:13" x14ac:dyDescent="0.35">
      <c r="L98" s="32"/>
      <c r="M98" s="32"/>
    </row>
    <row r="99" spans="12:13" x14ac:dyDescent="0.35">
      <c r="L99" s="32"/>
      <c r="M99" s="32"/>
    </row>
    <row r="100" spans="12:13" x14ac:dyDescent="0.35">
      <c r="L100" s="32"/>
      <c r="M100" s="32"/>
    </row>
    <row r="101" spans="12:13" x14ac:dyDescent="0.35">
      <c r="L101" s="32"/>
      <c r="M101" s="32"/>
    </row>
    <row r="102" spans="12:13" x14ac:dyDescent="0.35">
      <c r="L102" s="32"/>
      <c r="M102" s="32"/>
    </row>
    <row r="103" spans="12:13" x14ac:dyDescent="0.35">
      <c r="L103" s="32"/>
      <c r="M103" s="32"/>
    </row>
    <row r="104" spans="12:13" x14ac:dyDescent="0.35">
      <c r="L104" s="32"/>
      <c r="M104" s="32"/>
    </row>
    <row r="105" spans="12:13" x14ac:dyDescent="0.35">
      <c r="L105" s="32"/>
      <c r="M105" s="32"/>
    </row>
    <row r="106" spans="12:13" x14ac:dyDescent="0.35">
      <c r="L106" s="32"/>
      <c r="M106" s="32"/>
    </row>
    <row r="107" spans="12:13" x14ac:dyDescent="0.35">
      <c r="L107" s="32"/>
      <c r="M107" s="32"/>
    </row>
    <row r="108" spans="12:13" x14ac:dyDescent="0.35">
      <c r="L108" s="32"/>
      <c r="M108" s="32"/>
    </row>
    <row r="109" spans="12:13" x14ac:dyDescent="0.35">
      <c r="L109" s="32"/>
      <c r="M109" s="32"/>
    </row>
    <row r="110" spans="12:13" x14ac:dyDescent="0.35">
      <c r="L110" s="32"/>
      <c r="M110" s="32"/>
    </row>
    <row r="111" spans="12:13" x14ac:dyDescent="0.35">
      <c r="L111" s="32"/>
      <c r="M111" s="32"/>
    </row>
    <row r="112" spans="12:13" x14ac:dyDescent="0.35">
      <c r="L112" s="32"/>
      <c r="M112" s="32"/>
    </row>
    <row r="113" spans="12:13" x14ac:dyDescent="0.35">
      <c r="L113" s="32"/>
      <c r="M113" s="32"/>
    </row>
    <row r="114" spans="12:13" x14ac:dyDescent="0.35">
      <c r="L114" s="32"/>
      <c r="M114" s="32"/>
    </row>
    <row r="115" spans="12:13" x14ac:dyDescent="0.35">
      <c r="L115" s="32"/>
      <c r="M115" s="32"/>
    </row>
    <row r="116" spans="12:13" x14ac:dyDescent="0.35">
      <c r="L116" s="32"/>
      <c r="M116" s="32"/>
    </row>
    <row r="117" spans="12:13" x14ac:dyDescent="0.35">
      <c r="L117" s="32"/>
      <c r="M117" s="32"/>
    </row>
    <row r="118" spans="12:13" x14ac:dyDescent="0.35">
      <c r="L118" s="32"/>
      <c r="M118" s="32"/>
    </row>
    <row r="119" spans="12:13" x14ac:dyDescent="0.35">
      <c r="L119" s="32"/>
      <c r="M119" s="32"/>
    </row>
    <row r="120" spans="12:13" x14ac:dyDescent="0.35">
      <c r="L120" s="32"/>
      <c r="M120" s="32"/>
    </row>
    <row r="121" spans="12:13" x14ac:dyDescent="0.35">
      <c r="L121" s="32"/>
      <c r="M121" s="32"/>
    </row>
    <row r="122" spans="12:13" x14ac:dyDescent="0.35">
      <c r="L122" s="32"/>
      <c r="M122" s="32"/>
    </row>
    <row r="123" spans="12:13" x14ac:dyDescent="0.35">
      <c r="L123" s="32"/>
      <c r="M123" s="32"/>
    </row>
    <row r="124" spans="12:13" x14ac:dyDescent="0.35">
      <c r="L124" s="32"/>
      <c r="M124" s="32"/>
    </row>
    <row r="125" spans="12:13" x14ac:dyDescent="0.35">
      <c r="L125" s="32"/>
      <c r="M125" s="32"/>
    </row>
    <row r="126" spans="12:13" x14ac:dyDescent="0.35">
      <c r="L126" s="32"/>
      <c r="M126" s="32"/>
    </row>
    <row r="127" spans="12:13" x14ac:dyDescent="0.35">
      <c r="L127" s="32"/>
      <c r="M127" s="32"/>
    </row>
    <row r="128" spans="12:13" x14ac:dyDescent="0.35">
      <c r="L128" s="32"/>
      <c r="M128" s="32"/>
    </row>
    <row r="129" spans="12:13" x14ac:dyDescent="0.35">
      <c r="L129" s="32"/>
      <c r="M129" s="32"/>
    </row>
    <row r="130" spans="12:13" x14ac:dyDescent="0.35">
      <c r="L130" s="32"/>
      <c r="M130" s="32"/>
    </row>
    <row r="131" spans="12:13" x14ac:dyDescent="0.35">
      <c r="L131" s="32"/>
      <c r="M131" s="32"/>
    </row>
    <row r="132" spans="12:13" x14ac:dyDescent="0.35">
      <c r="L132" s="32"/>
      <c r="M132" s="32"/>
    </row>
    <row r="133" spans="12:13" x14ac:dyDescent="0.35">
      <c r="L133" s="32"/>
      <c r="M133" s="32"/>
    </row>
    <row r="134" spans="12:13" x14ac:dyDescent="0.35">
      <c r="L134" s="32"/>
      <c r="M134" s="32"/>
    </row>
    <row r="135" spans="12:13" x14ac:dyDescent="0.35">
      <c r="L135" s="32"/>
      <c r="M135" s="32"/>
    </row>
    <row r="136" spans="12:13" x14ac:dyDescent="0.35">
      <c r="L136" s="32"/>
      <c r="M136" s="32"/>
    </row>
    <row r="137" spans="12:13" x14ac:dyDescent="0.35">
      <c r="L137" s="32"/>
      <c r="M137" s="32"/>
    </row>
    <row r="138" spans="12:13" x14ac:dyDescent="0.35">
      <c r="L138" s="32"/>
      <c r="M138" s="32"/>
    </row>
    <row r="139" spans="12:13" x14ac:dyDescent="0.35">
      <c r="L139" s="32"/>
      <c r="M139" s="32"/>
    </row>
    <row r="140" spans="12:13" x14ac:dyDescent="0.35">
      <c r="L140" s="32"/>
      <c r="M140" s="32"/>
    </row>
    <row r="141" spans="12:13" x14ac:dyDescent="0.35">
      <c r="L141" s="32"/>
      <c r="M141" s="32"/>
    </row>
    <row r="142" spans="12:13" x14ac:dyDescent="0.35">
      <c r="L142" s="32"/>
      <c r="M142" s="32"/>
    </row>
    <row r="143" spans="12:13" x14ac:dyDescent="0.35">
      <c r="L143" s="32"/>
      <c r="M143" s="32"/>
    </row>
    <row r="144" spans="12:13" x14ac:dyDescent="0.35">
      <c r="L144" s="32"/>
      <c r="M144" s="32"/>
    </row>
    <row r="145" spans="12:13" x14ac:dyDescent="0.35">
      <c r="L145" s="32"/>
      <c r="M145" s="32"/>
    </row>
    <row r="146" spans="12:13" x14ac:dyDescent="0.35">
      <c r="L146" s="32"/>
      <c r="M146" s="32"/>
    </row>
    <row r="147" spans="12:13" x14ac:dyDescent="0.35">
      <c r="L147" s="32"/>
      <c r="M147" s="32"/>
    </row>
    <row r="148" spans="12:13" x14ac:dyDescent="0.35">
      <c r="L148" s="32"/>
      <c r="M148" s="32"/>
    </row>
    <row r="149" spans="12:13" x14ac:dyDescent="0.35">
      <c r="L149" s="32"/>
      <c r="M149" s="32"/>
    </row>
    <row r="150" spans="12:13" x14ac:dyDescent="0.35">
      <c r="L150" s="32"/>
      <c r="M150" s="32"/>
    </row>
    <row r="151" spans="12:13" x14ac:dyDescent="0.35">
      <c r="L151" s="32"/>
      <c r="M151" s="32"/>
    </row>
    <row r="152" spans="12:13" x14ac:dyDescent="0.35">
      <c r="L152" s="32"/>
      <c r="M152" s="32"/>
    </row>
    <row r="153" spans="12:13" x14ac:dyDescent="0.35">
      <c r="L153" s="32"/>
      <c r="M153" s="32"/>
    </row>
    <row r="154" spans="12:13" x14ac:dyDescent="0.35">
      <c r="L154" s="32"/>
      <c r="M154" s="32"/>
    </row>
    <row r="155" spans="12:13" x14ac:dyDescent="0.35">
      <c r="L155" s="32"/>
      <c r="M155" s="32"/>
    </row>
    <row r="156" spans="12:13" x14ac:dyDescent="0.35">
      <c r="L156" s="32"/>
      <c r="M156" s="32"/>
    </row>
    <row r="157" spans="12:13" x14ac:dyDescent="0.35">
      <c r="L157" s="32"/>
      <c r="M157" s="32"/>
    </row>
    <row r="158" spans="12:13" x14ac:dyDescent="0.35">
      <c r="L158" s="32"/>
      <c r="M158" s="32"/>
    </row>
    <row r="159" spans="12:13" x14ac:dyDescent="0.35">
      <c r="L159" s="32"/>
      <c r="M159" s="32"/>
    </row>
    <row r="160" spans="12:13" x14ac:dyDescent="0.35">
      <c r="L160" s="32"/>
      <c r="M160" s="32"/>
    </row>
    <row r="161" spans="12:13" x14ac:dyDescent="0.35">
      <c r="L161" s="32"/>
      <c r="M161" s="32"/>
    </row>
    <row r="162" spans="12:13" x14ac:dyDescent="0.35">
      <c r="L162" s="32"/>
      <c r="M162" s="32"/>
    </row>
    <row r="163" spans="12:13" x14ac:dyDescent="0.35">
      <c r="L163" s="32"/>
      <c r="M163" s="32"/>
    </row>
    <row r="164" spans="12:13" x14ac:dyDescent="0.35">
      <c r="L164" s="32"/>
      <c r="M164" s="32"/>
    </row>
    <row r="165" spans="12:13" x14ac:dyDescent="0.35">
      <c r="L165" s="32"/>
      <c r="M165" s="32"/>
    </row>
    <row r="166" spans="12:13" x14ac:dyDescent="0.35">
      <c r="L166" s="32"/>
      <c r="M166" s="32"/>
    </row>
    <row r="167" spans="12:13" x14ac:dyDescent="0.35">
      <c r="L167" s="32"/>
      <c r="M167" s="32"/>
    </row>
    <row r="168" spans="12:13" x14ac:dyDescent="0.35">
      <c r="L168" s="32"/>
      <c r="M168" s="32"/>
    </row>
    <row r="169" spans="12:13" x14ac:dyDescent="0.35">
      <c r="L169" s="32"/>
      <c r="M169" s="32"/>
    </row>
    <row r="170" spans="12:13" x14ac:dyDescent="0.35">
      <c r="L170" s="32"/>
      <c r="M170" s="32"/>
    </row>
    <row r="171" spans="12:13" x14ac:dyDescent="0.35">
      <c r="L171" s="32"/>
      <c r="M171" s="32"/>
    </row>
    <row r="172" spans="12:13" x14ac:dyDescent="0.35">
      <c r="L172" s="32"/>
      <c r="M172" s="32"/>
    </row>
    <row r="173" spans="12:13" x14ac:dyDescent="0.35">
      <c r="L173" s="32"/>
      <c r="M173" s="32"/>
    </row>
    <row r="174" spans="12:13" x14ac:dyDescent="0.35">
      <c r="L174" s="32"/>
      <c r="M174" s="32"/>
    </row>
    <row r="175" spans="12:13" x14ac:dyDescent="0.35">
      <c r="L175" s="32"/>
      <c r="M175" s="32"/>
    </row>
    <row r="176" spans="12:13" x14ac:dyDescent="0.35">
      <c r="L176" s="32"/>
      <c r="M176" s="32"/>
    </row>
    <row r="177" spans="12:13" x14ac:dyDescent="0.35">
      <c r="L177" s="32"/>
      <c r="M177" s="32"/>
    </row>
    <row r="178" spans="12:13" x14ac:dyDescent="0.35">
      <c r="L178" s="32"/>
      <c r="M178" s="32"/>
    </row>
    <row r="179" spans="12:13" x14ac:dyDescent="0.35">
      <c r="L179" s="32"/>
      <c r="M179" s="32"/>
    </row>
    <row r="180" spans="12:13" x14ac:dyDescent="0.35">
      <c r="L180" s="32"/>
      <c r="M180" s="32"/>
    </row>
    <row r="181" spans="12:13" x14ac:dyDescent="0.35">
      <c r="L181" s="32"/>
      <c r="M181" s="32"/>
    </row>
    <row r="182" spans="12:13" x14ac:dyDescent="0.35">
      <c r="L182" s="32"/>
      <c r="M182" s="32"/>
    </row>
    <row r="183" spans="12:13" x14ac:dyDescent="0.35">
      <c r="L183" s="32"/>
      <c r="M183" s="32"/>
    </row>
    <row r="184" spans="12:13" x14ac:dyDescent="0.35">
      <c r="L184" s="32"/>
      <c r="M184" s="32"/>
    </row>
    <row r="185" spans="12:13" x14ac:dyDescent="0.35">
      <c r="L185" s="32"/>
      <c r="M185" s="32"/>
    </row>
    <row r="186" spans="12:13" x14ac:dyDescent="0.35">
      <c r="L186" s="32"/>
      <c r="M186" s="32"/>
    </row>
    <row r="187" spans="12:13" x14ac:dyDescent="0.35">
      <c r="L187" s="32"/>
      <c r="M187" s="32"/>
    </row>
    <row r="188" spans="12:13" x14ac:dyDescent="0.35">
      <c r="L188" s="32"/>
      <c r="M188" s="32"/>
    </row>
    <row r="189" spans="12:13" x14ac:dyDescent="0.35">
      <c r="L189" s="32"/>
      <c r="M189" s="32"/>
    </row>
    <row r="190" spans="12:13" x14ac:dyDescent="0.35">
      <c r="L190" s="32"/>
      <c r="M190" s="32"/>
    </row>
    <row r="191" spans="12:13" x14ac:dyDescent="0.35">
      <c r="L191" s="32"/>
      <c r="M191" s="32"/>
    </row>
    <row r="192" spans="12:13" x14ac:dyDescent="0.35">
      <c r="L192" s="32"/>
      <c r="M192" s="32"/>
    </row>
    <row r="193" spans="12:13" x14ac:dyDescent="0.35">
      <c r="L193" s="32"/>
      <c r="M193" s="32"/>
    </row>
    <row r="194" spans="12:13" x14ac:dyDescent="0.35">
      <c r="L194" s="32"/>
      <c r="M194" s="32"/>
    </row>
    <row r="195" spans="12:13" x14ac:dyDescent="0.35">
      <c r="L195" s="32"/>
      <c r="M195" s="32"/>
    </row>
    <row r="196" spans="12:13" x14ac:dyDescent="0.35">
      <c r="L196" s="32"/>
      <c r="M196" s="32"/>
    </row>
    <row r="197" spans="12:13" x14ac:dyDescent="0.35">
      <c r="L197" s="32"/>
      <c r="M197" s="32"/>
    </row>
    <row r="198" spans="12:13" x14ac:dyDescent="0.35">
      <c r="L198" s="32"/>
      <c r="M198" s="32"/>
    </row>
    <row r="199" spans="12:13" x14ac:dyDescent="0.35">
      <c r="L199" s="32"/>
      <c r="M199" s="32"/>
    </row>
    <row r="200" spans="12:13" x14ac:dyDescent="0.35">
      <c r="L200" s="32"/>
      <c r="M200" s="32"/>
    </row>
    <row r="201" spans="12:13" x14ac:dyDescent="0.35">
      <c r="L201" s="32"/>
      <c r="M201" s="32"/>
    </row>
    <row r="202" spans="12:13" x14ac:dyDescent="0.35">
      <c r="L202" s="32"/>
      <c r="M202" s="32"/>
    </row>
    <row r="203" spans="12:13" x14ac:dyDescent="0.35">
      <c r="L203" s="32"/>
      <c r="M203" s="32"/>
    </row>
    <row r="204" spans="12:13" x14ac:dyDescent="0.35">
      <c r="L204" s="32"/>
      <c r="M204" s="32"/>
    </row>
    <row r="205" spans="12:13" x14ac:dyDescent="0.35">
      <c r="L205" s="32"/>
      <c r="M205" s="32"/>
    </row>
    <row r="206" spans="12:13" x14ac:dyDescent="0.35">
      <c r="L206" s="32"/>
      <c r="M206" s="32"/>
    </row>
    <row r="207" spans="12:13" x14ac:dyDescent="0.35">
      <c r="L207" s="32"/>
      <c r="M207" s="32"/>
    </row>
    <row r="208" spans="12:13" x14ac:dyDescent="0.35">
      <c r="L208" s="32"/>
      <c r="M208" s="32"/>
    </row>
    <row r="209" spans="12:13" x14ac:dyDescent="0.35">
      <c r="L209" s="32"/>
      <c r="M209" s="32"/>
    </row>
    <row r="210" spans="12:13" x14ac:dyDescent="0.35">
      <c r="L210" s="32"/>
      <c r="M210" s="32"/>
    </row>
    <row r="211" spans="12:13" x14ac:dyDescent="0.35">
      <c r="L211" s="32"/>
      <c r="M211" s="32"/>
    </row>
    <row r="212" spans="12:13" x14ac:dyDescent="0.35">
      <c r="L212" s="32"/>
      <c r="M212" s="32"/>
    </row>
    <row r="213" spans="12:13" x14ac:dyDescent="0.35">
      <c r="L213" s="32"/>
      <c r="M213" s="32"/>
    </row>
    <row r="214" spans="12:13" x14ac:dyDescent="0.35">
      <c r="L214" s="32"/>
      <c r="M214" s="32"/>
    </row>
    <row r="215" spans="12:13" x14ac:dyDescent="0.35">
      <c r="L215" s="32"/>
      <c r="M215" s="32"/>
    </row>
    <row r="216" spans="12:13" x14ac:dyDescent="0.35">
      <c r="L216" s="32"/>
      <c r="M216" s="32"/>
    </row>
    <row r="217" spans="12:13" x14ac:dyDescent="0.35">
      <c r="L217" s="32"/>
      <c r="M217" s="32"/>
    </row>
    <row r="218" spans="12:13" x14ac:dyDescent="0.35">
      <c r="L218" s="32"/>
      <c r="M218" s="32"/>
    </row>
    <row r="219" spans="12:13" x14ac:dyDescent="0.35">
      <c r="L219" s="32"/>
      <c r="M219" s="32"/>
    </row>
    <row r="220" spans="12:13" x14ac:dyDescent="0.35">
      <c r="L220" s="32"/>
      <c r="M220" s="32"/>
    </row>
    <row r="221" spans="12:13" x14ac:dyDescent="0.35">
      <c r="L221" s="32"/>
      <c r="M221" s="32"/>
    </row>
    <row r="222" spans="12:13" x14ac:dyDescent="0.35">
      <c r="L222" s="32"/>
      <c r="M222" s="32"/>
    </row>
    <row r="223" spans="12:13" x14ac:dyDescent="0.35">
      <c r="L223" s="32"/>
      <c r="M223" s="32"/>
    </row>
    <row r="224" spans="12:13" x14ac:dyDescent="0.35">
      <c r="L224" s="32"/>
      <c r="M224" s="32"/>
    </row>
    <row r="225" spans="12:13" x14ac:dyDescent="0.35">
      <c r="L225" s="32"/>
      <c r="M225" s="32"/>
    </row>
    <row r="226" spans="12:13" x14ac:dyDescent="0.35">
      <c r="L226" s="32"/>
      <c r="M226" s="32"/>
    </row>
    <row r="227" spans="12:13" x14ac:dyDescent="0.35">
      <c r="L227" s="32"/>
      <c r="M227" s="32"/>
    </row>
    <row r="228" spans="12:13" x14ac:dyDescent="0.35">
      <c r="L228" s="32"/>
      <c r="M228" s="32"/>
    </row>
    <row r="229" spans="12:13" x14ac:dyDescent="0.35">
      <c r="L229" s="32"/>
      <c r="M229" s="32"/>
    </row>
    <row r="230" spans="12:13" x14ac:dyDescent="0.35">
      <c r="L230" s="32"/>
      <c r="M230" s="32"/>
    </row>
    <row r="231" spans="12:13" x14ac:dyDescent="0.35">
      <c r="L231" s="32"/>
      <c r="M231" s="32"/>
    </row>
    <row r="232" spans="12:13" x14ac:dyDescent="0.35">
      <c r="L232" s="32"/>
      <c r="M232" s="32"/>
    </row>
    <row r="233" spans="12:13" x14ac:dyDescent="0.35">
      <c r="L233" s="32"/>
      <c r="M233" s="32"/>
    </row>
    <row r="234" spans="12:13" x14ac:dyDescent="0.35">
      <c r="L234" s="32"/>
      <c r="M234" s="32"/>
    </row>
    <row r="235" spans="12:13" x14ac:dyDescent="0.35">
      <c r="L235" s="32"/>
      <c r="M235" s="32"/>
    </row>
    <row r="236" spans="12:13" x14ac:dyDescent="0.35">
      <c r="L236" s="32"/>
      <c r="M236" s="32"/>
    </row>
    <row r="237" spans="12:13" x14ac:dyDescent="0.35">
      <c r="L237" s="32"/>
      <c r="M237" s="32"/>
    </row>
    <row r="238" spans="12:13" x14ac:dyDescent="0.35">
      <c r="L238" s="32"/>
      <c r="M238" s="32"/>
    </row>
    <row r="239" spans="12:13" x14ac:dyDescent="0.35">
      <c r="L239" s="32"/>
      <c r="M239" s="32"/>
    </row>
    <row r="240" spans="12:13" x14ac:dyDescent="0.35">
      <c r="L240" s="32"/>
      <c r="M240" s="32"/>
    </row>
    <row r="241" spans="12:13" x14ac:dyDescent="0.35">
      <c r="L241" s="32"/>
      <c r="M241" s="32"/>
    </row>
    <row r="242" spans="12:13" x14ac:dyDescent="0.35">
      <c r="L242" s="32"/>
      <c r="M242" s="32"/>
    </row>
    <row r="243" spans="12:13" x14ac:dyDescent="0.35">
      <c r="L243" s="32"/>
      <c r="M243" s="32"/>
    </row>
    <row r="244" spans="12:13" x14ac:dyDescent="0.35">
      <c r="L244" s="32"/>
      <c r="M244" s="32"/>
    </row>
    <row r="245" spans="12:13" x14ac:dyDescent="0.35">
      <c r="L245" s="32"/>
      <c r="M245" s="32"/>
    </row>
    <row r="246" spans="12:13" x14ac:dyDescent="0.35">
      <c r="L246" s="32"/>
      <c r="M246" s="32"/>
    </row>
    <row r="247" spans="12:13" x14ac:dyDescent="0.35">
      <c r="L247" s="32"/>
      <c r="M247" s="32"/>
    </row>
    <row r="248" spans="12:13" x14ac:dyDescent="0.35">
      <c r="L248" s="32"/>
      <c r="M248" s="32"/>
    </row>
    <row r="249" spans="12:13" x14ac:dyDescent="0.35">
      <c r="L249" s="32"/>
      <c r="M249" s="32"/>
    </row>
    <row r="250" spans="12:13" x14ac:dyDescent="0.35">
      <c r="L250" s="32"/>
      <c r="M250" s="32"/>
    </row>
    <row r="251" spans="12:13" x14ac:dyDescent="0.35">
      <c r="L251" s="32"/>
      <c r="M251" s="32"/>
    </row>
    <row r="252" spans="12:13" x14ac:dyDescent="0.35">
      <c r="L252" s="32"/>
      <c r="M252" s="32"/>
    </row>
    <row r="253" spans="12:13" x14ac:dyDescent="0.35">
      <c r="L253" s="32"/>
      <c r="M253" s="32"/>
    </row>
    <row r="254" spans="12:13" x14ac:dyDescent="0.35">
      <c r="L254" s="32"/>
      <c r="M254" s="32"/>
    </row>
    <row r="255" spans="12:13" x14ac:dyDescent="0.35">
      <c r="L255" s="32"/>
      <c r="M255" s="32"/>
    </row>
    <row r="256" spans="12:13" x14ac:dyDescent="0.35">
      <c r="L256" s="32"/>
      <c r="M256" s="32"/>
    </row>
    <row r="257" spans="12:13" x14ac:dyDescent="0.35">
      <c r="L257" s="32"/>
      <c r="M257" s="32"/>
    </row>
    <row r="258" spans="12:13" x14ac:dyDescent="0.35">
      <c r="L258" s="32"/>
      <c r="M258" s="32"/>
    </row>
    <row r="259" spans="12:13" x14ac:dyDescent="0.35">
      <c r="L259" s="32"/>
      <c r="M259" s="32"/>
    </row>
    <row r="260" spans="12:13" x14ac:dyDescent="0.35">
      <c r="L260" s="32"/>
      <c r="M260" s="32"/>
    </row>
    <row r="261" spans="12:13" x14ac:dyDescent="0.35">
      <c r="L261" s="32"/>
      <c r="M261" s="32"/>
    </row>
    <row r="262" spans="12:13" x14ac:dyDescent="0.35">
      <c r="L262" s="32"/>
      <c r="M262" s="32"/>
    </row>
    <row r="263" spans="12:13" x14ac:dyDescent="0.35">
      <c r="L263" s="32"/>
      <c r="M263" s="32"/>
    </row>
    <row r="264" spans="12:13" x14ac:dyDescent="0.35">
      <c r="L264" s="32"/>
      <c r="M264" s="32"/>
    </row>
    <row r="265" spans="12:13" x14ac:dyDescent="0.35">
      <c r="L265" s="32"/>
      <c r="M265" s="32"/>
    </row>
    <row r="266" spans="12:13" x14ac:dyDescent="0.35">
      <c r="L266" s="32"/>
      <c r="M266" s="32"/>
    </row>
    <row r="267" spans="12:13" x14ac:dyDescent="0.35">
      <c r="L267" s="32"/>
      <c r="M267" s="32"/>
    </row>
    <row r="268" spans="12:13" x14ac:dyDescent="0.35">
      <c r="L268" s="32"/>
      <c r="M268" s="32"/>
    </row>
    <row r="269" spans="12:13" x14ac:dyDescent="0.35">
      <c r="L269" s="32"/>
      <c r="M269" s="32"/>
    </row>
    <row r="270" spans="12:13" x14ac:dyDescent="0.35">
      <c r="L270" s="32"/>
      <c r="M270" s="32"/>
    </row>
    <row r="271" spans="12:13" x14ac:dyDescent="0.35">
      <c r="L271" s="32"/>
      <c r="M271" s="32"/>
    </row>
    <row r="272" spans="12:13" x14ac:dyDescent="0.35">
      <c r="L272" s="32"/>
      <c r="M272" s="32"/>
    </row>
    <row r="273" spans="12:13" x14ac:dyDescent="0.35">
      <c r="L273" s="32"/>
      <c r="M273" s="32"/>
    </row>
    <row r="274" spans="12:13" x14ac:dyDescent="0.35">
      <c r="L274" s="32"/>
      <c r="M274" s="32"/>
    </row>
    <row r="275" spans="12:13" x14ac:dyDescent="0.35">
      <c r="L275" s="32"/>
      <c r="M275" s="32"/>
    </row>
    <row r="276" spans="12:13" x14ac:dyDescent="0.35">
      <c r="L276" s="32"/>
      <c r="M276" s="32"/>
    </row>
    <row r="277" spans="12:13" x14ac:dyDescent="0.35">
      <c r="L277" s="32"/>
      <c r="M277" s="32"/>
    </row>
    <row r="278" spans="12:13" x14ac:dyDescent="0.35">
      <c r="L278" s="32"/>
      <c r="M278" s="32"/>
    </row>
    <row r="279" spans="12:13" x14ac:dyDescent="0.35">
      <c r="L279" s="32"/>
      <c r="M279" s="32"/>
    </row>
    <row r="280" spans="12:13" x14ac:dyDescent="0.35">
      <c r="L280" s="32"/>
      <c r="M280" s="32"/>
    </row>
    <row r="281" spans="12:13" x14ac:dyDescent="0.35">
      <c r="L281" s="32"/>
      <c r="M281" s="32"/>
    </row>
    <row r="282" spans="12:13" x14ac:dyDescent="0.35">
      <c r="L282" s="32"/>
      <c r="M282" s="32"/>
    </row>
    <row r="283" spans="12:13" x14ac:dyDescent="0.35">
      <c r="L283" s="32"/>
      <c r="M283" s="32"/>
    </row>
    <row r="284" spans="12:13" x14ac:dyDescent="0.35">
      <c r="L284" s="32"/>
      <c r="M284" s="32"/>
    </row>
    <row r="285" spans="12:13" x14ac:dyDescent="0.35">
      <c r="L285" s="32"/>
      <c r="M285" s="32"/>
    </row>
    <row r="286" spans="12:13" x14ac:dyDescent="0.35">
      <c r="L286" s="32"/>
      <c r="M286" s="32"/>
    </row>
    <row r="287" spans="12:13" x14ac:dyDescent="0.35">
      <c r="L287" s="32"/>
      <c r="M287" s="32"/>
    </row>
    <row r="288" spans="12:13" x14ac:dyDescent="0.35">
      <c r="L288" s="32"/>
      <c r="M288" s="32"/>
    </row>
    <row r="289" spans="12:13" x14ac:dyDescent="0.35">
      <c r="L289" s="32"/>
      <c r="M289" s="32"/>
    </row>
    <row r="290" spans="12:13" x14ac:dyDescent="0.35">
      <c r="L290" s="32"/>
      <c r="M290" s="32"/>
    </row>
    <row r="291" spans="12:13" x14ac:dyDescent="0.35">
      <c r="L291" s="32"/>
      <c r="M291" s="32"/>
    </row>
    <row r="292" spans="12:13" x14ac:dyDescent="0.35">
      <c r="L292" s="32"/>
      <c r="M292" s="32"/>
    </row>
    <row r="293" spans="12:13" x14ac:dyDescent="0.35">
      <c r="L293" s="32"/>
      <c r="M293" s="32"/>
    </row>
    <row r="294" spans="12:13" x14ac:dyDescent="0.35">
      <c r="L294" s="32"/>
      <c r="M294" s="32"/>
    </row>
    <row r="295" spans="12:13" x14ac:dyDescent="0.35">
      <c r="L295" s="32"/>
      <c r="M295" s="32"/>
    </row>
    <row r="296" spans="12:13" x14ac:dyDescent="0.35">
      <c r="L296" s="32"/>
      <c r="M296" s="32"/>
    </row>
    <row r="297" spans="12:13" x14ac:dyDescent="0.35">
      <c r="L297" s="32"/>
      <c r="M297" s="32"/>
    </row>
    <row r="298" spans="12:13" x14ac:dyDescent="0.35">
      <c r="L298" s="32"/>
      <c r="M298" s="32"/>
    </row>
    <row r="299" spans="12:13" x14ac:dyDescent="0.35">
      <c r="L299" s="32"/>
      <c r="M299" s="32"/>
    </row>
    <row r="300" spans="12:13" x14ac:dyDescent="0.35">
      <c r="L300" s="32"/>
      <c r="M300" s="32"/>
    </row>
    <row r="301" spans="12:13" x14ac:dyDescent="0.35">
      <c r="L301" s="32"/>
      <c r="M301" s="32"/>
    </row>
    <row r="302" spans="12:13" x14ac:dyDescent="0.35">
      <c r="L302" s="32"/>
      <c r="M302" s="32"/>
    </row>
    <row r="303" spans="12:13" x14ac:dyDescent="0.35">
      <c r="L303" s="32"/>
      <c r="M303" s="32"/>
    </row>
    <row r="304" spans="12:13" x14ac:dyDescent="0.35">
      <c r="L304" s="32"/>
      <c r="M304" s="32"/>
    </row>
    <row r="305" spans="12:13" x14ac:dyDescent="0.35">
      <c r="L305" s="32"/>
      <c r="M305" s="32"/>
    </row>
    <row r="306" spans="12:13" x14ac:dyDescent="0.35">
      <c r="L306" s="32"/>
      <c r="M306" s="32"/>
    </row>
    <row r="307" spans="12:13" x14ac:dyDescent="0.35">
      <c r="L307" s="32"/>
      <c r="M307" s="32"/>
    </row>
    <row r="308" spans="12:13" x14ac:dyDescent="0.35">
      <c r="L308" s="32"/>
      <c r="M308" s="32"/>
    </row>
    <row r="309" spans="12:13" x14ac:dyDescent="0.35">
      <c r="L309" s="32"/>
      <c r="M309" s="32"/>
    </row>
    <row r="310" spans="12:13" x14ac:dyDescent="0.35">
      <c r="L310" s="32"/>
      <c r="M310" s="32"/>
    </row>
    <row r="311" spans="12:13" x14ac:dyDescent="0.35">
      <c r="L311" s="32"/>
      <c r="M311" s="32"/>
    </row>
    <row r="312" spans="12:13" x14ac:dyDescent="0.35">
      <c r="L312" s="32"/>
      <c r="M312" s="32"/>
    </row>
    <row r="313" spans="12:13" x14ac:dyDescent="0.35">
      <c r="L313" s="32"/>
      <c r="M313" s="32"/>
    </row>
    <row r="314" spans="12:13" x14ac:dyDescent="0.35">
      <c r="L314" s="32"/>
      <c r="M314" s="32"/>
    </row>
    <row r="315" spans="12:13" x14ac:dyDescent="0.35">
      <c r="L315" s="32"/>
      <c r="M315" s="32"/>
    </row>
    <row r="316" spans="12:13" x14ac:dyDescent="0.35">
      <c r="L316" s="32"/>
      <c r="M316" s="32"/>
    </row>
    <row r="317" spans="12:13" x14ac:dyDescent="0.35">
      <c r="L317" s="32"/>
      <c r="M317" s="32"/>
    </row>
    <row r="318" spans="12:13" x14ac:dyDescent="0.35">
      <c r="L318" s="32"/>
      <c r="M318" s="32"/>
    </row>
    <row r="319" spans="12:13" x14ac:dyDescent="0.35">
      <c r="L319" s="32"/>
      <c r="M319" s="32"/>
    </row>
    <row r="320" spans="12:13" x14ac:dyDescent="0.35">
      <c r="L320" s="32"/>
      <c r="M320" s="32"/>
    </row>
    <row r="321" spans="12:13" x14ac:dyDescent="0.35">
      <c r="L321" s="32"/>
      <c r="M321" s="32"/>
    </row>
    <row r="322" spans="12:13" x14ac:dyDescent="0.35">
      <c r="L322" s="32"/>
      <c r="M322" s="32"/>
    </row>
    <row r="323" spans="12:13" x14ac:dyDescent="0.35">
      <c r="L323" s="32"/>
      <c r="M323" s="32"/>
    </row>
    <row r="324" spans="12:13" x14ac:dyDescent="0.35">
      <c r="L324" s="32"/>
      <c r="M324" s="32"/>
    </row>
    <row r="325" spans="12:13" x14ac:dyDescent="0.35">
      <c r="L325" s="32"/>
      <c r="M325" s="32"/>
    </row>
    <row r="326" spans="12:13" x14ac:dyDescent="0.35">
      <c r="L326" s="32"/>
      <c r="M326" s="32"/>
    </row>
    <row r="327" spans="12:13" x14ac:dyDescent="0.35">
      <c r="L327" s="32"/>
      <c r="M327" s="32"/>
    </row>
    <row r="328" spans="12:13" x14ac:dyDescent="0.35">
      <c r="L328" s="32"/>
      <c r="M328" s="32"/>
    </row>
    <row r="329" spans="12:13" x14ac:dyDescent="0.35">
      <c r="L329" s="32"/>
      <c r="M329" s="32"/>
    </row>
    <row r="330" spans="12:13" x14ac:dyDescent="0.35">
      <c r="L330" s="32"/>
      <c r="M330" s="32"/>
    </row>
    <row r="331" spans="12:13" x14ac:dyDescent="0.35">
      <c r="L331" s="32"/>
      <c r="M331" s="32"/>
    </row>
    <row r="332" spans="12:13" x14ac:dyDescent="0.35">
      <c r="L332" s="32"/>
      <c r="M332" s="32"/>
    </row>
    <row r="333" spans="12:13" x14ac:dyDescent="0.35">
      <c r="L333" s="32"/>
      <c r="M333" s="32"/>
    </row>
    <row r="334" spans="12:13" x14ac:dyDescent="0.35">
      <c r="L334" s="32"/>
      <c r="M334" s="32"/>
    </row>
    <row r="335" spans="12:13" x14ac:dyDescent="0.35">
      <c r="L335" s="32"/>
      <c r="M335" s="32"/>
    </row>
    <row r="336" spans="12:13" x14ac:dyDescent="0.35">
      <c r="L336" s="32"/>
      <c r="M336" s="32"/>
    </row>
    <row r="337" spans="12:13" x14ac:dyDescent="0.35">
      <c r="L337" s="32"/>
      <c r="M337" s="32"/>
    </row>
    <row r="338" spans="12:13" x14ac:dyDescent="0.35">
      <c r="L338" s="32"/>
      <c r="M338" s="32"/>
    </row>
    <row r="339" spans="12:13" x14ac:dyDescent="0.35">
      <c r="L339" s="32"/>
      <c r="M339" s="32"/>
    </row>
    <row r="340" spans="12:13" x14ac:dyDescent="0.35">
      <c r="L340" s="32"/>
      <c r="M340" s="32"/>
    </row>
    <row r="341" spans="12:13" x14ac:dyDescent="0.35">
      <c r="L341" s="32"/>
      <c r="M341" s="32"/>
    </row>
    <row r="342" spans="12:13" x14ac:dyDescent="0.35">
      <c r="L342" s="32"/>
      <c r="M342" s="32"/>
    </row>
    <row r="343" spans="12:13" x14ac:dyDescent="0.35">
      <c r="L343" s="32"/>
      <c r="M343" s="32"/>
    </row>
    <row r="344" spans="12:13" x14ac:dyDescent="0.35">
      <c r="L344" s="32"/>
      <c r="M344" s="32"/>
    </row>
    <row r="345" spans="12:13" x14ac:dyDescent="0.35">
      <c r="L345" s="32"/>
      <c r="M345" s="32"/>
    </row>
    <row r="346" spans="12:13" x14ac:dyDescent="0.35">
      <c r="L346" s="32"/>
      <c r="M346" s="32"/>
    </row>
    <row r="347" spans="12:13" x14ac:dyDescent="0.35">
      <c r="L347" s="32"/>
      <c r="M347" s="32"/>
    </row>
    <row r="348" spans="12:13" x14ac:dyDescent="0.35">
      <c r="L348" s="32"/>
      <c r="M348" s="32"/>
    </row>
    <row r="349" spans="12:13" x14ac:dyDescent="0.35">
      <c r="L349" s="32"/>
      <c r="M349" s="32"/>
    </row>
    <row r="350" spans="12:13" x14ac:dyDescent="0.35">
      <c r="L350" s="32"/>
      <c r="M350" s="32"/>
    </row>
    <row r="351" spans="12:13" x14ac:dyDescent="0.35">
      <c r="L351" s="32"/>
      <c r="M351" s="32"/>
    </row>
    <row r="352" spans="12:13" x14ac:dyDescent="0.35">
      <c r="L352" s="32"/>
      <c r="M352" s="32"/>
    </row>
    <row r="353" spans="12:13" x14ac:dyDescent="0.35">
      <c r="L353" s="32"/>
      <c r="M353" s="32"/>
    </row>
    <row r="354" spans="12:13" x14ac:dyDescent="0.35">
      <c r="L354" s="32"/>
      <c r="M354" s="32"/>
    </row>
    <row r="355" spans="12:13" x14ac:dyDescent="0.35">
      <c r="L355" s="32"/>
      <c r="M355" s="32"/>
    </row>
    <row r="356" spans="12:13" x14ac:dyDescent="0.35">
      <c r="L356" s="32"/>
      <c r="M356" s="32"/>
    </row>
    <row r="357" spans="12:13" x14ac:dyDescent="0.35">
      <c r="L357" s="32"/>
      <c r="M357" s="32"/>
    </row>
    <row r="358" spans="12:13" x14ac:dyDescent="0.35">
      <c r="L358" s="32"/>
      <c r="M358" s="32"/>
    </row>
    <row r="359" spans="12:13" x14ac:dyDescent="0.35">
      <c r="L359" s="32"/>
      <c r="M359" s="32"/>
    </row>
    <row r="360" spans="12:13" x14ac:dyDescent="0.35">
      <c r="L360" s="32"/>
      <c r="M360" s="32"/>
    </row>
    <row r="361" spans="12:13" x14ac:dyDescent="0.35">
      <c r="L361" s="32"/>
      <c r="M361" s="32"/>
    </row>
    <row r="362" spans="12:13" x14ac:dyDescent="0.35">
      <c r="L362" s="32"/>
      <c r="M362" s="32"/>
    </row>
    <row r="363" spans="12:13" x14ac:dyDescent="0.35">
      <c r="L363" s="32"/>
      <c r="M363" s="32"/>
    </row>
    <row r="364" spans="12:13" x14ac:dyDescent="0.35">
      <c r="L364" s="32"/>
      <c r="M364" s="32"/>
    </row>
    <row r="365" spans="12:13" x14ac:dyDescent="0.35">
      <c r="L365" s="32"/>
      <c r="M365" s="32"/>
    </row>
    <row r="366" spans="12:13" x14ac:dyDescent="0.35">
      <c r="L366" s="32"/>
      <c r="M366" s="32"/>
    </row>
    <row r="367" spans="12:13" x14ac:dyDescent="0.35">
      <c r="L367" s="32"/>
      <c r="M367" s="32"/>
    </row>
    <row r="368" spans="12:13" x14ac:dyDescent="0.35">
      <c r="L368" s="32"/>
      <c r="M368" s="32"/>
    </row>
    <row r="369" spans="12:13" x14ac:dyDescent="0.35">
      <c r="L369" s="32"/>
      <c r="M369" s="32"/>
    </row>
    <row r="370" spans="12:13" x14ac:dyDescent="0.35">
      <c r="L370" s="32"/>
      <c r="M370" s="32"/>
    </row>
    <row r="371" spans="12:13" x14ac:dyDescent="0.35">
      <c r="L371" s="32"/>
      <c r="M371" s="32"/>
    </row>
    <row r="372" spans="12:13" x14ac:dyDescent="0.35">
      <c r="L372" s="32"/>
      <c r="M372" s="32"/>
    </row>
    <row r="373" spans="12:13" x14ac:dyDescent="0.35">
      <c r="L373" s="32"/>
      <c r="M373" s="32"/>
    </row>
    <row r="374" spans="12:13" x14ac:dyDescent="0.35">
      <c r="L374" s="32"/>
      <c r="M374" s="32"/>
    </row>
    <row r="375" spans="12:13" x14ac:dyDescent="0.35">
      <c r="L375" s="32"/>
      <c r="M375" s="32"/>
    </row>
    <row r="376" spans="12:13" x14ac:dyDescent="0.35">
      <c r="L376" s="32"/>
      <c r="M376" s="32"/>
    </row>
    <row r="377" spans="12:13" x14ac:dyDescent="0.35">
      <c r="L377" s="32"/>
      <c r="M377" s="32"/>
    </row>
    <row r="378" spans="12:13" x14ac:dyDescent="0.35">
      <c r="L378" s="32"/>
      <c r="M378" s="32"/>
    </row>
    <row r="379" spans="12:13" x14ac:dyDescent="0.35">
      <c r="L379" s="32"/>
      <c r="M379" s="32"/>
    </row>
    <row r="380" spans="12:13" x14ac:dyDescent="0.35">
      <c r="L380" s="32"/>
      <c r="M380" s="32"/>
    </row>
    <row r="381" spans="12:13" x14ac:dyDescent="0.35">
      <c r="L381" s="32"/>
      <c r="M381" s="32"/>
    </row>
    <row r="382" spans="12:13" x14ac:dyDescent="0.35">
      <c r="L382" s="32"/>
      <c r="M382" s="32"/>
    </row>
    <row r="383" spans="12:13" x14ac:dyDescent="0.35">
      <c r="L383" s="32"/>
      <c r="M383" s="32"/>
    </row>
    <row r="384" spans="12:13" x14ac:dyDescent="0.35">
      <c r="L384" s="32"/>
      <c r="M384" s="32"/>
    </row>
    <row r="385" spans="12:13" x14ac:dyDescent="0.35">
      <c r="L385" s="32"/>
      <c r="M385" s="32"/>
    </row>
    <row r="386" spans="12:13" x14ac:dyDescent="0.35">
      <c r="L386" s="32"/>
      <c r="M386" s="32"/>
    </row>
    <row r="387" spans="12:13" x14ac:dyDescent="0.35">
      <c r="L387" s="32"/>
      <c r="M387" s="32"/>
    </row>
    <row r="388" spans="12:13" x14ac:dyDescent="0.35">
      <c r="L388" s="32"/>
      <c r="M388" s="32"/>
    </row>
    <row r="389" spans="12:13" x14ac:dyDescent="0.35">
      <c r="L389" s="32"/>
      <c r="M389" s="32"/>
    </row>
    <row r="390" spans="12:13" x14ac:dyDescent="0.35">
      <c r="L390" s="32"/>
      <c r="M390" s="32"/>
    </row>
    <row r="391" spans="12:13" x14ac:dyDescent="0.35">
      <c r="L391" s="32"/>
      <c r="M391" s="32"/>
    </row>
    <row r="392" spans="12:13" x14ac:dyDescent="0.35">
      <c r="L392" s="32"/>
      <c r="M392" s="32"/>
    </row>
    <row r="393" spans="12:13" x14ac:dyDescent="0.35">
      <c r="L393" s="32"/>
      <c r="M393" s="32"/>
    </row>
    <row r="394" spans="12:13" x14ac:dyDescent="0.35">
      <c r="L394" s="32"/>
      <c r="M394" s="32"/>
    </row>
    <row r="395" spans="12:13" x14ac:dyDescent="0.35">
      <c r="L395" s="32"/>
      <c r="M395" s="32"/>
    </row>
    <row r="396" spans="12:13" x14ac:dyDescent="0.35">
      <c r="L396" s="32"/>
      <c r="M396" s="32"/>
    </row>
    <row r="397" spans="12:13" x14ac:dyDescent="0.35">
      <c r="L397" s="32"/>
      <c r="M397" s="32"/>
    </row>
    <row r="398" spans="12:13" x14ac:dyDescent="0.35">
      <c r="L398" s="32"/>
      <c r="M398" s="32"/>
    </row>
    <row r="399" spans="12:13" x14ac:dyDescent="0.35">
      <c r="L399" s="32"/>
      <c r="M399" s="32"/>
    </row>
    <row r="400" spans="12:13" x14ac:dyDescent="0.35">
      <c r="L400" s="32"/>
      <c r="M400" s="32"/>
    </row>
    <row r="401" spans="12:13" x14ac:dyDescent="0.35">
      <c r="L401" s="32"/>
      <c r="M401" s="32"/>
    </row>
    <row r="402" spans="12:13" x14ac:dyDescent="0.35">
      <c r="L402" s="32"/>
      <c r="M402" s="32"/>
    </row>
    <row r="403" spans="12:13" x14ac:dyDescent="0.35">
      <c r="L403" s="32"/>
      <c r="M403" s="32"/>
    </row>
    <row r="404" spans="12:13" x14ac:dyDescent="0.35">
      <c r="L404" s="32"/>
      <c r="M404" s="32"/>
    </row>
    <row r="405" spans="12:13" x14ac:dyDescent="0.35">
      <c r="L405" s="32"/>
      <c r="M405" s="32"/>
    </row>
    <row r="406" spans="12:13" x14ac:dyDescent="0.35">
      <c r="L406" s="32"/>
      <c r="M406" s="32"/>
    </row>
    <row r="407" spans="12:13" x14ac:dyDescent="0.35">
      <c r="L407" s="32"/>
      <c r="M407" s="32"/>
    </row>
    <row r="408" spans="12:13" x14ac:dyDescent="0.35">
      <c r="L408" s="32"/>
      <c r="M408" s="32"/>
    </row>
    <row r="409" spans="12:13" x14ac:dyDescent="0.35">
      <c r="L409" s="32"/>
      <c r="M409" s="32"/>
    </row>
    <row r="410" spans="12:13" x14ac:dyDescent="0.35">
      <c r="L410" s="32"/>
      <c r="M410" s="32"/>
    </row>
    <row r="411" spans="12:13" x14ac:dyDescent="0.35">
      <c r="L411" s="32"/>
      <c r="M411" s="32"/>
    </row>
    <row r="412" spans="12:13" x14ac:dyDescent="0.35">
      <c r="L412" s="32"/>
      <c r="M412" s="32"/>
    </row>
    <row r="413" spans="12:13" x14ac:dyDescent="0.35">
      <c r="L413" s="32"/>
      <c r="M413" s="32"/>
    </row>
    <row r="414" spans="12:13" x14ac:dyDescent="0.35">
      <c r="L414" s="32"/>
      <c r="M414" s="32"/>
    </row>
    <row r="415" spans="12:13" x14ac:dyDescent="0.35">
      <c r="L415" s="32"/>
      <c r="M415" s="32"/>
    </row>
    <row r="416" spans="12:13" x14ac:dyDescent="0.35">
      <c r="L416" s="32"/>
      <c r="M416" s="32"/>
    </row>
    <row r="417" spans="12:13" x14ac:dyDescent="0.35">
      <c r="L417" s="32"/>
      <c r="M417" s="32"/>
    </row>
    <row r="418" spans="12:13" x14ac:dyDescent="0.35">
      <c r="L418" s="32"/>
      <c r="M418" s="32"/>
    </row>
    <row r="419" spans="12:13" x14ac:dyDescent="0.35">
      <c r="L419" s="32"/>
      <c r="M419" s="32"/>
    </row>
    <row r="420" spans="12:13" x14ac:dyDescent="0.35">
      <c r="L420" s="32"/>
      <c r="M420" s="32"/>
    </row>
    <row r="421" spans="12:13" x14ac:dyDescent="0.35">
      <c r="L421" s="32"/>
      <c r="M421" s="32"/>
    </row>
    <row r="422" spans="12:13" x14ac:dyDescent="0.35">
      <c r="L422" s="32"/>
      <c r="M422" s="32"/>
    </row>
    <row r="423" spans="12:13" x14ac:dyDescent="0.35">
      <c r="L423" s="32"/>
      <c r="M423" s="32"/>
    </row>
    <row r="424" spans="12:13" x14ac:dyDescent="0.35">
      <c r="L424" s="32"/>
      <c r="M424" s="32"/>
    </row>
    <row r="425" spans="12:13" x14ac:dyDescent="0.35">
      <c r="L425" s="32"/>
      <c r="M425" s="32"/>
    </row>
    <row r="426" spans="12:13" x14ac:dyDescent="0.35">
      <c r="L426" s="32"/>
      <c r="M426" s="32"/>
    </row>
    <row r="427" spans="12:13" x14ac:dyDescent="0.35">
      <c r="L427" s="32"/>
      <c r="M427" s="32"/>
    </row>
    <row r="428" spans="12:13" x14ac:dyDescent="0.35">
      <c r="L428" s="32"/>
      <c r="M428" s="32"/>
    </row>
    <row r="429" spans="12:13" x14ac:dyDescent="0.35">
      <c r="L429" s="32"/>
      <c r="M429" s="32"/>
    </row>
    <row r="430" spans="12:13" x14ac:dyDescent="0.35">
      <c r="L430" s="32"/>
      <c r="M430" s="32"/>
    </row>
    <row r="431" spans="12:13" x14ac:dyDescent="0.35">
      <c r="L431" s="32"/>
      <c r="M431" s="32"/>
    </row>
    <row r="432" spans="12:13" x14ac:dyDescent="0.35">
      <c r="L432" s="32"/>
      <c r="M432" s="32"/>
    </row>
    <row r="433" spans="12:13" x14ac:dyDescent="0.35">
      <c r="L433" s="32"/>
      <c r="M433" s="32"/>
    </row>
    <row r="434" spans="12:13" x14ac:dyDescent="0.35">
      <c r="L434" s="32"/>
      <c r="M434" s="32"/>
    </row>
    <row r="435" spans="12:13" x14ac:dyDescent="0.35">
      <c r="L435" s="32"/>
      <c r="M435" s="32"/>
    </row>
    <row r="436" spans="12:13" x14ac:dyDescent="0.35">
      <c r="L436" s="32"/>
      <c r="M436" s="32"/>
    </row>
    <row r="437" spans="12:13" x14ac:dyDescent="0.35">
      <c r="L437" s="32"/>
      <c r="M437" s="32"/>
    </row>
    <row r="438" spans="12:13" x14ac:dyDescent="0.35">
      <c r="L438" s="32"/>
      <c r="M438" s="32"/>
    </row>
    <row r="439" spans="12:13" x14ac:dyDescent="0.35">
      <c r="L439" s="32"/>
      <c r="M439" s="32"/>
    </row>
    <row r="440" spans="12:13" x14ac:dyDescent="0.35">
      <c r="L440" s="32"/>
      <c r="M440" s="32"/>
    </row>
    <row r="441" spans="12:13" x14ac:dyDescent="0.35">
      <c r="L441" s="32"/>
      <c r="M441" s="32"/>
    </row>
    <row r="442" spans="12:13" x14ac:dyDescent="0.35">
      <c r="L442" s="32"/>
      <c r="M442" s="32"/>
    </row>
    <row r="443" spans="12:13" x14ac:dyDescent="0.35">
      <c r="L443" s="32"/>
      <c r="M443" s="32"/>
    </row>
    <row r="444" spans="12:13" x14ac:dyDescent="0.35">
      <c r="L444" s="32"/>
      <c r="M444" s="32"/>
    </row>
    <row r="445" spans="12:13" x14ac:dyDescent="0.35">
      <c r="L445" s="32"/>
      <c r="M445" s="32"/>
    </row>
    <row r="446" spans="12:13" x14ac:dyDescent="0.35">
      <c r="L446" s="32"/>
      <c r="M446" s="32"/>
    </row>
    <row r="447" spans="12:13" x14ac:dyDescent="0.35">
      <c r="L447" s="32"/>
      <c r="M447" s="32"/>
    </row>
    <row r="448" spans="12:13" x14ac:dyDescent="0.35">
      <c r="L448" s="32"/>
      <c r="M448" s="32"/>
    </row>
    <row r="449" spans="12:13" x14ac:dyDescent="0.35">
      <c r="L449" s="32"/>
      <c r="M449" s="32"/>
    </row>
    <row r="450" spans="12:13" x14ac:dyDescent="0.35">
      <c r="L450" s="32"/>
      <c r="M450" s="32"/>
    </row>
    <row r="451" spans="12:13" x14ac:dyDescent="0.35">
      <c r="L451" s="32"/>
      <c r="M451" s="32"/>
    </row>
    <row r="452" spans="12:13" x14ac:dyDescent="0.35">
      <c r="L452" s="32"/>
      <c r="M452" s="32"/>
    </row>
    <row r="453" spans="12:13" x14ac:dyDescent="0.35">
      <c r="L453" s="32"/>
      <c r="M453" s="32"/>
    </row>
    <row r="454" spans="12:13" x14ac:dyDescent="0.35">
      <c r="L454" s="32"/>
      <c r="M454" s="32"/>
    </row>
    <row r="455" spans="12:13" x14ac:dyDescent="0.35">
      <c r="L455" s="32"/>
      <c r="M455" s="32"/>
    </row>
    <row r="456" spans="12:13" x14ac:dyDescent="0.35">
      <c r="L456" s="32"/>
      <c r="M456" s="32"/>
    </row>
    <row r="457" spans="12:13" x14ac:dyDescent="0.35">
      <c r="L457" s="32"/>
      <c r="M457" s="32"/>
    </row>
    <row r="458" spans="12:13" x14ac:dyDescent="0.35">
      <c r="L458" s="32"/>
      <c r="M458" s="32"/>
    </row>
    <row r="459" spans="12:13" x14ac:dyDescent="0.35">
      <c r="L459" s="32"/>
      <c r="M459" s="32"/>
    </row>
    <row r="460" spans="12:13" x14ac:dyDescent="0.35">
      <c r="L460" s="32"/>
      <c r="M460" s="32"/>
    </row>
    <row r="461" spans="12:13" x14ac:dyDescent="0.35">
      <c r="L461" s="32"/>
      <c r="M461" s="32"/>
    </row>
    <row r="462" spans="12:13" x14ac:dyDescent="0.35">
      <c r="L462" s="32"/>
      <c r="M462" s="32"/>
    </row>
    <row r="463" spans="12:13" x14ac:dyDescent="0.35">
      <c r="L463" s="32"/>
      <c r="M463" s="32"/>
    </row>
    <row r="464" spans="12:13" x14ac:dyDescent="0.35">
      <c r="L464" s="32"/>
      <c r="M464" s="32"/>
    </row>
    <row r="465" spans="12:13" x14ac:dyDescent="0.35">
      <c r="L465" s="32"/>
      <c r="M465" s="32"/>
    </row>
    <row r="466" spans="12:13" x14ac:dyDescent="0.35">
      <c r="L466" s="32"/>
      <c r="M466" s="32"/>
    </row>
    <row r="467" spans="12:13" x14ac:dyDescent="0.35">
      <c r="L467" s="32"/>
      <c r="M467" s="32"/>
    </row>
    <row r="468" spans="12:13" x14ac:dyDescent="0.35">
      <c r="L468" s="32"/>
      <c r="M468" s="32"/>
    </row>
    <row r="469" spans="12:13" x14ac:dyDescent="0.35">
      <c r="L469" s="32"/>
      <c r="M469" s="32"/>
    </row>
    <row r="470" spans="12:13" x14ac:dyDescent="0.35">
      <c r="L470" s="32"/>
      <c r="M470" s="32"/>
    </row>
    <row r="471" spans="12:13" x14ac:dyDescent="0.35">
      <c r="L471" s="32"/>
      <c r="M471" s="32"/>
    </row>
    <row r="472" spans="12:13" x14ac:dyDescent="0.35">
      <c r="L472" s="32"/>
      <c r="M472" s="32"/>
    </row>
    <row r="473" spans="12:13" x14ac:dyDescent="0.35">
      <c r="L473" s="32"/>
      <c r="M473" s="32"/>
    </row>
  </sheetData>
  <mergeCells count="2">
    <mergeCell ref="A2:J2"/>
    <mergeCell ref="A1:M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29"/>
  <sheetViews>
    <sheetView zoomScale="60" zoomScaleNormal="60" workbookViewId="0">
      <selection activeCell="S3" sqref="S3"/>
    </sheetView>
  </sheetViews>
  <sheetFormatPr defaultColWidth="8.7265625" defaultRowHeight="14.5" x14ac:dyDescent="0.35"/>
  <cols>
    <col min="1" max="1" width="5.26953125" style="104" customWidth="1"/>
    <col min="2" max="2" width="12.54296875" style="59" customWidth="1"/>
    <col min="3" max="3" width="25.81640625" style="59" bestFit="1" customWidth="1"/>
    <col min="4" max="4" width="28.453125" style="59" bestFit="1" customWidth="1"/>
    <col min="5" max="5" width="6.54296875" style="59" bestFit="1" customWidth="1"/>
    <col min="6" max="6" width="8" style="59" customWidth="1"/>
    <col min="7" max="7" width="6.7265625" style="59" customWidth="1"/>
    <col min="8" max="8" width="8.7265625" style="59"/>
    <col min="9" max="13" width="7.1796875" style="59" customWidth="1"/>
    <col min="14" max="14" width="6.1796875" style="59" customWidth="1"/>
    <col min="15" max="20" width="5.7265625" style="59" customWidth="1"/>
    <col min="21" max="22" width="8.7265625" style="59"/>
    <col min="23" max="23" width="18.1796875" style="59" customWidth="1"/>
    <col min="24" max="24" width="11.26953125" style="59" customWidth="1"/>
    <col min="25" max="25" width="21.26953125" style="59" customWidth="1"/>
    <col min="26" max="16384" width="8.7265625" style="59"/>
  </cols>
  <sheetData>
    <row r="1" spans="1:25" ht="91" x14ac:dyDescent="0.35">
      <c r="A1" s="50" t="s">
        <v>122</v>
      </c>
      <c r="B1" s="51" t="s">
        <v>123</v>
      </c>
      <c r="C1" s="51" t="s">
        <v>124</v>
      </c>
      <c r="D1" s="52" t="s">
        <v>43</v>
      </c>
      <c r="E1" s="53" t="s">
        <v>125</v>
      </c>
      <c r="F1" s="53" t="s">
        <v>126</v>
      </c>
      <c r="G1" s="54" t="s">
        <v>127</v>
      </c>
      <c r="H1" s="55" t="s">
        <v>212</v>
      </c>
      <c r="I1" s="56" t="s">
        <v>128</v>
      </c>
      <c r="J1" s="56" t="s">
        <v>129</v>
      </c>
      <c r="K1" s="56" t="s">
        <v>130</v>
      </c>
      <c r="L1" s="56" t="s">
        <v>131</v>
      </c>
      <c r="M1" s="56" t="s">
        <v>132</v>
      </c>
      <c r="N1" s="56" t="s">
        <v>133</v>
      </c>
      <c r="O1" s="56" t="s">
        <v>134</v>
      </c>
      <c r="P1" s="56" t="s">
        <v>135</v>
      </c>
      <c r="Q1" s="56" t="s">
        <v>136</v>
      </c>
      <c r="R1" s="56" t="s">
        <v>137</v>
      </c>
      <c r="S1" s="56" t="s">
        <v>138</v>
      </c>
      <c r="T1" s="56" t="s">
        <v>139</v>
      </c>
      <c r="U1" s="57" t="s">
        <v>213</v>
      </c>
      <c r="V1" s="55" t="s">
        <v>140</v>
      </c>
      <c r="W1" s="58" t="s">
        <v>141</v>
      </c>
      <c r="X1" s="58" t="s">
        <v>142</v>
      </c>
      <c r="Y1" s="58" t="s">
        <v>143</v>
      </c>
    </row>
    <row r="2" spans="1:25" x14ac:dyDescent="0.35">
      <c r="A2" s="60">
        <v>1</v>
      </c>
      <c r="B2" s="61" t="s">
        <v>144</v>
      </c>
      <c r="C2" s="62" t="s">
        <v>145</v>
      </c>
      <c r="D2" s="62" t="s">
        <v>146</v>
      </c>
      <c r="E2" s="63" t="s">
        <v>147</v>
      </c>
      <c r="F2" s="62" t="s">
        <v>148</v>
      </c>
      <c r="G2" s="64" t="s">
        <v>149</v>
      </c>
      <c r="H2" s="65">
        <f>24/12*12</f>
        <v>24</v>
      </c>
      <c r="I2" s="65"/>
      <c r="J2" s="65"/>
      <c r="K2" s="65"/>
      <c r="L2" s="65"/>
      <c r="M2" s="65"/>
      <c r="N2" s="65">
        <v>10</v>
      </c>
      <c r="O2" s="65"/>
      <c r="P2" s="65"/>
      <c r="Q2" s="65"/>
      <c r="R2" s="65">
        <v>6</v>
      </c>
      <c r="S2" s="65"/>
      <c r="T2" s="65"/>
      <c r="U2" s="66">
        <f>SUM(I2:T2)</f>
        <v>16</v>
      </c>
      <c r="V2" s="67">
        <f>H2-U2</f>
        <v>8</v>
      </c>
      <c r="W2" s="68">
        <f>U2/H2*100</f>
        <v>66.666666666666657</v>
      </c>
      <c r="X2" s="69"/>
      <c r="Y2" s="70"/>
    </row>
    <row r="3" spans="1:25" x14ac:dyDescent="0.35">
      <c r="A3" s="71">
        <v>2</v>
      </c>
      <c r="B3" s="72" t="s">
        <v>150</v>
      </c>
      <c r="C3" s="73" t="s">
        <v>151</v>
      </c>
      <c r="D3" s="73" t="s">
        <v>152</v>
      </c>
      <c r="E3" s="74" t="s">
        <v>147</v>
      </c>
      <c r="F3" s="73" t="s">
        <v>148</v>
      </c>
      <c r="G3" s="75" t="s">
        <v>149</v>
      </c>
      <c r="H3" s="76">
        <f>22/12*12</f>
        <v>22</v>
      </c>
      <c r="I3" s="77"/>
      <c r="J3" s="77"/>
      <c r="K3" s="77">
        <v>5</v>
      </c>
      <c r="L3" s="77"/>
      <c r="M3" s="77"/>
      <c r="N3" s="77"/>
      <c r="O3" s="77"/>
      <c r="P3" s="77"/>
      <c r="Q3" s="77">
        <v>15</v>
      </c>
      <c r="R3" s="77"/>
      <c r="S3" s="77"/>
      <c r="T3" s="77"/>
      <c r="U3" s="66">
        <f t="shared" ref="U3:U28" si="0">SUM(I3:T3)</f>
        <v>20</v>
      </c>
      <c r="V3" s="66">
        <f t="shared" ref="V3:V28" si="1">H3-U3</f>
        <v>2</v>
      </c>
      <c r="W3" s="78">
        <f t="shared" ref="W3:W28" si="2">U3/H3*100</f>
        <v>90.909090909090907</v>
      </c>
      <c r="X3" s="79"/>
      <c r="Y3" s="80"/>
    </row>
    <row r="4" spans="1:25" x14ac:dyDescent="0.35">
      <c r="A4" s="60">
        <v>3</v>
      </c>
      <c r="B4" s="61" t="s">
        <v>153</v>
      </c>
      <c r="C4" s="81" t="s">
        <v>154</v>
      </c>
      <c r="D4" s="81" t="s">
        <v>155</v>
      </c>
      <c r="E4" s="63" t="s">
        <v>147</v>
      </c>
      <c r="F4" s="81" t="s">
        <v>156</v>
      </c>
      <c r="G4" s="64" t="s">
        <v>149</v>
      </c>
      <c r="H4" s="65">
        <f>24/12*11</f>
        <v>22</v>
      </c>
      <c r="I4" s="65">
        <v>4</v>
      </c>
      <c r="J4" s="65"/>
      <c r="K4" s="65"/>
      <c r="L4" s="65"/>
      <c r="M4" s="65"/>
      <c r="N4" s="65">
        <v>10</v>
      </c>
      <c r="O4" s="65"/>
      <c r="P4" s="65"/>
      <c r="Q4" s="65"/>
      <c r="R4" s="65"/>
      <c r="S4" s="65">
        <v>8</v>
      </c>
      <c r="T4" s="65"/>
      <c r="U4" s="66">
        <f t="shared" si="0"/>
        <v>22</v>
      </c>
      <c r="V4" s="67">
        <f t="shared" si="1"/>
        <v>0</v>
      </c>
      <c r="W4" s="68">
        <f t="shared" si="2"/>
        <v>100</v>
      </c>
      <c r="X4" s="69"/>
      <c r="Y4" s="67"/>
    </row>
    <row r="5" spans="1:25" s="90" customFormat="1" x14ac:dyDescent="0.35">
      <c r="A5" s="82">
        <v>4</v>
      </c>
      <c r="B5" s="83" t="s">
        <v>157</v>
      </c>
      <c r="C5" s="84" t="s">
        <v>158</v>
      </c>
      <c r="D5" s="84" t="s">
        <v>159</v>
      </c>
      <c r="E5" s="85" t="s">
        <v>147</v>
      </c>
      <c r="F5" s="84" t="s">
        <v>148</v>
      </c>
      <c r="G5" s="86" t="s">
        <v>160</v>
      </c>
      <c r="H5" s="87">
        <f>22/12*5</f>
        <v>9.1666666666666661</v>
      </c>
      <c r="I5" s="76"/>
      <c r="J5" s="76"/>
      <c r="K5" s="76">
        <v>5</v>
      </c>
      <c r="L5" s="76">
        <v>4</v>
      </c>
      <c r="M5" s="76"/>
      <c r="N5" s="76"/>
      <c r="O5" s="76"/>
      <c r="P5" s="76"/>
      <c r="Q5" s="76"/>
      <c r="R5" s="76"/>
      <c r="S5" s="76"/>
      <c r="T5" s="76"/>
      <c r="U5" s="66">
        <f t="shared" si="0"/>
        <v>9</v>
      </c>
      <c r="V5" s="88">
        <f t="shared" si="1"/>
        <v>0.16666666666666607</v>
      </c>
      <c r="W5" s="78">
        <f t="shared" si="2"/>
        <v>98.181818181818187</v>
      </c>
      <c r="X5" s="89"/>
      <c r="Y5" s="66"/>
    </row>
    <row r="6" spans="1:25" s="90" customFormat="1" x14ac:dyDescent="0.35">
      <c r="A6" s="91">
        <v>5</v>
      </c>
      <c r="B6" s="84" t="s">
        <v>161</v>
      </c>
      <c r="C6" s="84" t="s">
        <v>162</v>
      </c>
      <c r="D6" s="84" t="s">
        <v>155</v>
      </c>
      <c r="E6" s="85" t="s">
        <v>147</v>
      </c>
      <c r="F6" s="84" t="s">
        <v>163</v>
      </c>
      <c r="G6" s="92" t="s">
        <v>149</v>
      </c>
      <c r="H6" s="76">
        <f>24/12*5</f>
        <v>10</v>
      </c>
      <c r="I6" s="76"/>
      <c r="J6" s="76">
        <v>5</v>
      </c>
      <c r="K6" s="76"/>
      <c r="L6" s="76">
        <v>3</v>
      </c>
      <c r="M6" s="76"/>
      <c r="N6" s="76">
        <v>2</v>
      </c>
      <c r="O6" s="76"/>
      <c r="P6" s="76"/>
      <c r="Q6" s="76"/>
      <c r="R6" s="76"/>
      <c r="S6" s="76"/>
      <c r="T6" s="76"/>
      <c r="U6" s="66">
        <f t="shared" si="0"/>
        <v>10</v>
      </c>
      <c r="V6" s="66">
        <f t="shared" si="1"/>
        <v>0</v>
      </c>
      <c r="W6" s="78">
        <f t="shared" si="2"/>
        <v>100</v>
      </c>
      <c r="X6" s="89"/>
      <c r="Y6" s="66"/>
    </row>
    <row r="7" spans="1:25" s="90" customFormat="1" x14ac:dyDescent="0.35">
      <c r="A7" s="82">
        <v>6</v>
      </c>
      <c r="B7" s="83" t="s">
        <v>164</v>
      </c>
      <c r="C7" s="84" t="s">
        <v>165</v>
      </c>
      <c r="D7" s="84" t="s">
        <v>159</v>
      </c>
      <c r="E7" s="85" t="s">
        <v>147</v>
      </c>
      <c r="F7" s="84" t="s">
        <v>156</v>
      </c>
      <c r="G7" s="92" t="s">
        <v>160</v>
      </c>
      <c r="H7" s="87">
        <f>22/12*11</f>
        <v>20.166666666666664</v>
      </c>
      <c r="I7" s="76"/>
      <c r="J7" s="76"/>
      <c r="K7" s="76"/>
      <c r="L7" s="76"/>
      <c r="M7" s="76"/>
      <c r="N7" s="76">
        <v>10</v>
      </c>
      <c r="O7" s="76"/>
      <c r="P7" s="76"/>
      <c r="Q7" s="76"/>
      <c r="R7" s="76">
        <v>10</v>
      </c>
      <c r="S7" s="76"/>
      <c r="T7" s="76"/>
      <c r="U7" s="66">
        <f t="shared" si="0"/>
        <v>20</v>
      </c>
      <c r="V7" s="88">
        <f t="shared" si="1"/>
        <v>0.1666666666666643</v>
      </c>
      <c r="W7" s="78">
        <f t="shared" si="2"/>
        <v>99.173553719008282</v>
      </c>
      <c r="X7" s="89"/>
      <c r="Y7" s="93"/>
    </row>
    <row r="8" spans="1:25" s="90" customFormat="1" x14ac:dyDescent="0.35">
      <c r="A8" s="82">
        <v>7</v>
      </c>
      <c r="B8" s="83" t="s">
        <v>166</v>
      </c>
      <c r="C8" s="84" t="s">
        <v>167</v>
      </c>
      <c r="D8" s="84" t="s">
        <v>155</v>
      </c>
      <c r="E8" s="85" t="s">
        <v>147</v>
      </c>
      <c r="F8" s="84" t="s">
        <v>168</v>
      </c>
      <c r="G8" s="92" t="s">
        <v>160</v>
      </c>
      <c r="H8" s="76">
        <f>24/12*11</f>
        <v>22</v>
      </c>
      <c r="I8" s="76"/>
      <c r="J8" s="76"/>
      <c r="K8" s="76"/>
      <c r="L8" s="76">
        <v>10</v>
      </c>
      <c r="M8" s="76"/>
      <c r="N8" s="76"/>
      <c r="O8" s="76"/>
      <c r="P8" s="76">
        <v>10</v>
      </c>
      <c r="Q8" s="76"/>
      <c r="R8" s="76"/>
      <c r="S8" s="76"/>
      <c r="T8" s="76"/>
      <c r="U8" s="66">
        <f t="shared" si="0"/>
        <v>20</v>
      </c>
      <c r="V8" s="66">
        <f t="shared" si="1"/>
        <v>2</v>
      </c>
      <c r="W8" s="78">
        <f t="shared" si="2"/>
        <v>90.909090909090907</v>
      </c>
      <c r="X8" s="94"/>
      <c r="Y8" s="82"/>
    </row>
    <row r="9" spans="1:25" s="90" customFormat="1" x14ac:dyDescent="0.35">
      <c r="A9" s="82">
        <v>8</v>
      </c>
      <c r="B9" s="83" t="s">
        <v>169</v>
      </c>
      <c r="C9" s="95" t="s">
        <v>170</v>
      </c>
      <c r="D9" s="95" t="s">
        <v>171</v>
      </c>
      <c r="E9" s="85" t="s">
        <v>147</v>
      </c>
      <c r="F9" s="84" t="s">
        <v>168</v>
      </c>
      <c r="G9" s="92" t="s">
        <v>149</v>
      </c>
      <c r="H9" s="87">
        <f>22/12*11</f>
        <v>20.166666666666664</v>
      </c>
      <c r="I9" s="76"/>
      <c r="J9" s="76"/>
      <c r="K9" s="76"/>
      <c r="L9" s="76"/>
      <c r="M9" s="76"/>
      <c r="N9" s="76"/>
      <c r="O9" s="76"/>
      <c r="P9" s="76">
        <v>10</v>
      </c>
      <c r="Q9" s="76"/>
      <c r="R9" s="76"/>
      <c r="S9" s="76">
        <v>10</v>
      </c>
      <c r="T9" s="76"/>
      <c r="U9" s="66">
        <f t="shared" si="0"/>
        <v>20</v>
      </c>
      <c r="V9" s="88">
        <f t="shared" si="1"/>
        <v>0.1666666666666643</v>
      </c>
      <c r="W9" s="78">
        <f t="shared" si="2"/>
        <v>99.173553719008282</v>
      </c>
      <c r="X9" s="89"/>
      <c r="Y9" s="66"/>
    </row>
    <row r="10" spans="1:25" s="90" customFormat="1" x14ac:dyDescent="0.35">
      <c r="A10" s="91">
        <v>9</v>
      </c>
      <c r="B10" s="84" t="s">
        <v>172</v>
      </c>
      <c r="C10" s="84" t="s">
        <v>173</v>
      </c>
      <c r="D10" s="84" t="s">
        <v>171</v>
      </c>
      <c r="E10" s="84" t="s">
        <v>147</v>
      </c>
      <c r="F10" s="84" t="s">
        <v>156</v>
      </c>
      <c r="G10" s="84" t="s">
        <v>149</v>
      </c>
      <c r="H10" s="87">
        <f t="shared" ref="H10" si="3">22/12*11</f>
        <v>20.166666666666664</v>
      </c>
      <c r="I10" s="84"/>
      <c r="J10" s="84"/>
      <c r="K10" s="84"/>
      <c r="L10" s="84">
        <v>10</v>
      </c>
      <c r="M10" s="84"/>
      <c r="N10" s="84"/>
      <c r="O10" s="84"/>
      <c r="P10" s="84"/>
      <c r="Q10" s="84"/>
      <c r="R10" s="84">
        <v>10</v>
      </c>
      <c r="S10" s="84"/>
      <c r="T10" s="84"/>
      <c r="U10" s="66">
        <f t="shared" si="0"/>
        <v>20</v>
      </c>
      <c r="V10" s="88">
        <f t="shared" si="1"/>
        <v>0.1666666666666643</v>
      </c>
      <c r="W10" s="78">
        <f t="shared" si="2"/>
        <v>99.173553719008282</v>
      </c>
      <c r="X10" s="84"/>
      <c r="Y10" s="84"/>
    </row>
    <row r="11" spans="1:25" s="90" customFormat="1" x14ac:dyDescent="0.35">
      <c r="A11" s="91">
        <v>10</v>
      </c>
      <c r="B11" s="84" t="s">
        <v>174</v>
      </c>
      <c r="C11" s="84" t="s">
        <v>175</v>
      </c>
      <c r="D11" s="84" t="s">
        <v>171</v>
      </c>
      <c r="E11" s="84" t="s">
        <v>147</v>
      </c>
      <c r="F11" s="84" t="s">
        <v>156</v>
      </c>
      <c r="G11" s="84" t="s">
        <v>149</v>
      </c>
      <c r="H11" s="87">
        <f>22/12*9</f>
        <v>16.5</v>
      </c>
      <c r="I11" s="84"/>
      <c r="J11" s="84"/>
      <c r="K11" s="84"/>
      <c r="L11" s="84"/>
      <c r="M11" s="84"/>
      <c r="N11" s="84">
        <v>12</v>
      </c>
      <c r="O11" s="84"/>
      <c r="P11" s="84"/>
      <c r="Q11" s="84"/>
      <c r="R11" s="84"/>
      <c r="S11" s="84"/>
      <c r="T11" s="84"/>
      <c r="U11" s="66">
        <f t="shared" si="0"/>
        <v>12</v>
      </c>
      <c r="V11" s="88">
        <f t="shared" si="1"/>
        <v>4.5</v>
      </c>
      <c r="W11" s="78">
        <f t="shared" si="2"/>
        <v>72.727272727272734</v>
      </c>
      <c r="X11" s="84"/>
      <c r="Y11" s="84"/>
    </row>
    <row r="12" spans="1:25" s="90" customFormat="1" x14ac:dyDescent="0.35">
      <c r="A12" s="91">
        <v>11</v>
      </c>
      <c r="B12" s="84" t="s">
        <v>176</v>
      </c>
      <c r="C12" s="84" t="s">
        <v>177</v>
      </c>
      <c r="D12" s="84" t="s">
        <v>178</v>
      </c>
      <c r="E12" s="84" t="s">
        <v>147</v>
      </c>
      <c r="F12" s="84" t="s">
        <v>156</v>
      </c>
      <c r="G12" s="84" t="s">
        <v>149</v>
      </c>
      <c r="H12" s="87">
        <f>22/12*11</f>
        <v>20.166666666666664</v>
      </c>
      <c r="I12" s="84"/>
      <c r="J12" s="84"/>
      <c r="K12" s="84"/>
      <c r="L12" s="84"/>
      <c r="M12" s="84">
        <v>10</v>
      </c>
      <c r="N12" s="84"/>
      <c r="O12" s="84"/>
      <c r="P12" s="84">
        <v>10</v>
      </c>
      <c r="Q12" s="84"/>
      <c r="R12" s="84"/>
      <c r="S12" s="84"/>
      <c r="T12" s="84"/>
      <c r="U12" s="66">
        <f t="shared" si="0"/>
        <v>20</v>
      </c>
      <c r="V12" s="88">
        <f t="shared" si="1"/>
        <v>0.1666666666666643</v>
      </c>
      <c r="W12" s="78">
        <f t="shared" si="2"/>
        <v>99.173553719008282</v>
      </c>
      <c r="X12" s="84"/>
      <c r="Y12" s="84"/>
    </row>
    <row r="13" spans="1:25" s="90" customFormat="1" x14ac:dyDescent="0.35">
      <c r="A13" s="91">
        <v>12</v>
      </c>
      <c r="B13" s="84" t="s">
        <v>179</v>
      </c>
      <c r="C13" s="84" t="s">
        <v>180</v>
      </c>
      <c r="D13" s="84" t="s">
        <v>171</v>
      </c>
      <c r="E13" s="84" t="s">
        <v>147</v>
      </c>
      <c r="F13" s="84" t="s">
        <v>163</v>
      </c>
      <c r="G13" s="84" t="s">
        <v>160</v>
      </c>
      <c r="H13" s="87">
        <f>22/12*10</f>
        <v>18.333333333333332</v>
      </c>
      <c r="I13" s="84"/>
      <c r="J13" s="84">
        <v>5</v>
      </c>
      <c r="K13" s="84"/>
      <c r="L13" s="84"/>
      <c r="M13" s="84">
        <v>8</v>
      </c>
      <c r="N13" s="84"/>
      <c r="O13" s="84"/>
      <c r="P13" s="84"/>
      <c r="Q13" s="84">
        <v>5</v>
      </c>
      <c r="R13" s="84"/>
      <c r="S13" s="84"/>
      <c r="T13" s="84"/>
      <c r="U13" s="66">
        <f t="shared" si="0"/>
        <v>18</v>
      </c>
      <c r="V13" s="88">
        <f t="shared" si="1"/>
        <v>0.33333333333333215</v>
      </c>
      <c r="W13" s="78">
        <f t="shared" si="2"/>
        <v>98.181818181818187</v>
      </c>
      <c r="X13" s="84"/>
      <c r="Y13" s="84"/>
    </row>
    <row r="14" spans="1:25" s="90" customFormat="1" x14ac:dyDescent="0.35">
      <c r="A14" s="91">
        <v>13</v>
      </c>
      <c r="B14" s="84" t="s">
        <v>181</v>
      </c>
      <c r="C14" s="84" t="s">
        <v>182</v>
      </c>
      <c r="D14" s="84" t="s">
        <v>171</v>
      </c>
      <c r="E14" s="84" t="s">
        <v>147</v>
      </c>
      <c r="F14" s="84" t="s">
        <v>163</v>
      </c>
      <c r="G14" s="84" t="s">
        <v>149</v>
      </c>
      <c r="H14" s="87">
        <f>22/12*10</f>
        <v>18.333333333333332</v>
      </c>
      <c r="I14" s="84"/>
      <c r="J14" s="84"/>
      <c r="K14" s="84"/>
      <c r="L14" s="84"/>
      <c r="M14" s="84">
        <v>10</v>
      </c>
      <c r="N14" s="84"/>
      <c r="O14" s="84"/>
      <c r="P14" s="84"/>
      <c r="Q14" s="84"/>
      <c r="R14" s="84"/>
      <c r="S14" s="84">
        <v>5</v>
      </c>
      <c r="T14" s="84"/>
      <c r="U14" s="66">
        <f t="shared" si="0"/>
        <v>15</v>
      </c>
      <c r="V14" s="96">
        <f t="shared" si="1"/>
        <v>3.3333333333333321</v>
      </c>
      <c r="W14" s="97">
        <f t="shared" si="2"/>
        <v>81.818181818181827</v>
      </c>
      <c r="X14" s="84"/>
      <c r="Y14" s="84"/>
    </row>
    <row r="15" spans="1:25" s="90" customFormat="1" x14ac:dyDescent="0.35">
      <c r="A15" s="91">
        <v>14</v>
      </c>
      <c r="B15" s="84" t="s">
        <v>183</v>
      </c>
      <c r="C15" s="84" t="s">
        <v>184</v>
      </c>
      <c r="D15" s="84" t="s">
        <v>178</v>
      </c>
      <c r="E15" s="84" t="s">
        <v>147</v>
      </c>
      <c r="F15" s="84" t="s">
        <v>163</v>
      </c>
      <c r="G15" s="84" t="s">
        <v>149</v>
      </c>
      <c r="H15" s="87">
        <f>22/12*8</f>
        <v>14.666666666666666</v>
      </c>
      <c r="I15" s="84"/>
      <c r="J15" s="84"/>
      <c r="K15" s="84">
        <v>10</v>
      </c>
      <c r="L15" s="84"/>
      <c r="M15" s="84"/>
      <c r="N15" s="84"/>
      <c r="O15" s="84"/>
      <c r="P15" s="84">
        <v>5</v>
      </c>
      <c r="Q15" s="84"/>
      <c r="R15" s="84"/>
      <c r="S15" s="84"/>
      <c r="T15" s="84"/>
      <c r="U15" s="66">
        <f t="shared" si="0"/>
        <v>15</v>
      </c>
      <c r="V15" s="88">
        <f t="shared" si="1"/>
        <v>-0.33333333333333393</v>
      </c>
      <c r="W15" s="78">
        <f t="shared" si="2"/>
        <v>102.27272727272727</v>
      </c>
      <c r="X15" s="84"/>
      <c r="Y15" s="84"/>
    </row>
    <row r="16" spans="1:25" s="90" customFormat="1" x14ac:dyDescent="0.35">
      <c r="A16" s="91">
        <v>15</v>
      </c>
      <c r="B16" s="84" t="s">
        <v>185</v>
      </c>
      <c r="C16" s="84" t="s">
        <v>186</v>
      </c>
      <c r="D16" s="84" t="s">
        <v>178</v>
      </c>
      <c r="E16" s="84" t="s">
        <v>147</v>
      </c>
      <c r="F16" s="84" t="s">
        <v>148</v>
      </c>
      <c r="G16" s="84" t="s">
        <v>149</v>
      </c>
      <c r="H16" s="87">
        <f>22/12*4</f>
        <v>7.333333333333333</v>
      </c>
      <c r="I16" s="84"/>
      <c r="J16" s="84"/>
      <c r="K16" s="84">
        <v>3</v>
      </c>
      <c r="L16" s="84">
        <v>5</v>
      </c>
      <c r="M16" s="84"/>
      <c r="N16" s="84"/>
      <c r="O16" s="84"/>
      <c r="P16" s="84"/>
      <c r="Q16" s="84"/>
      <c r="R16" s="84"/>
      <c r="S16" s="84"/>
      <c r="T16" s="84"/>
      <c r="U16" s="66">
        <f t="shared" si="0"/>
        <v>8</v>
      </c>
      <c r="V16" s="96">
        <f t="shared" si="1"/>
        <v>-0.66666666666666696</v>
      </c>
      <c r="W16" s="97">
        <f t="shared" si="2"/>
        <v>109.09090909090911</v>
      </c>
      <c r="X16" s="84"/>
      <c r="Y16" s="84"/>
    </row>
    <row r="17" spans="1:25" s="90" customFormat="1" x14ac:dyDescent="0.35">
      <c r="A17" s="91">
        <v>16</v>
      </c>
      <c r="B17" s="84" t="s">
        <v>187</v>
      </c>
      <c r="C17" s="84" t="s">
        <v>188</v>
      </c>
      <c r="D17" s="84" t="s">
        <v>171</v>
      </c>
      <c r="E17" s="84" t="s">
        <v>147</v>
      </c>
      <c r="F17" s="84" t="s">
        <v>148</v>
      </c>
      <c r="G17" s="84" t="s">
        <v>149</v>
      </c>
      <c r="H17" s="87">
        <f>22/12*11</f>
        <v>20.166666666666664</v>
      </c>
      <c r="I17" s="84"/>
      <c r="J17" s="84">
        <v>4</v>
      </c>
      <c r="K17" s="84"/>
      <c r="L17" s="84"/>
      <c r="M17" s="84"/>
      <c r="N17" s="84"/>
      <c r="O17" s="84"/>
      <c r="P17" s="84"/>
      <c r="Q17" s="84">
        <v>2</v>
      </c>
      <c r="R17" s="84"/>
      <c r="S17" s="84">
        <v>7</v>
      </c>
      <c r="T17" s="84"/>
      <c r="U17" s="66">
        <f t="shared" si="0"/>
        <v>13</v>
      </c>
      <c r="V17" s="88">
        <f t="shared" si="1"/>
        <v>7.1666666666666643</v>
      </c>
      <c r="W17" s="78">
        <f t="shared" si="2"/>
        <v>64.462809917355372</v>
      </c>
      <c r="X17" s="84"/>
      <c r="Y17" s="84"/>
    </row>
    <row r="18" spans="1:25" s="90" customFormat="1" x14ac:dyDescent="0.35">
      <c r="A18" s="91">
        <v>17</v>
      </c>
      <c r="B18" s="84" t="s">
        <v>189</v>
      </c>
      <c r="C18" s="84" t="s">
        <v>190</v>
      </c>
      <c r="D18" s="84" t="s">
        <v>155</v>
      </c>
      <c r="E18" s="84" t="s">
        <v>147</v>
      </c>
      <c r="F18" s="84" t="s">
        <v>148</v>
      </c>
      <c r="G18" s="84" t="s">
        <v>160</v>
      </c>
      <c r="H18" s="76">
        <f>24/12*12</f>
        <v>24</v>
      </c>
      <c r="I18" s="84"/>
      <c r="J18" s="84">
        <v>5</v>
      </c>
      <c r="K18" s="84"/>
      <c r="L18" s="84">
        <v>8</v>
      </c>
      <c r="M18" s="84"/>
      <c r="N18" s="84"/>
      <c r="O18" s="84"/>
      <c r="P18" s="84"/>
      <c r="Q18" s="84">
        <v>10</v>
      </c>
      <c r="R18" s="84"/>
      <c r="S18" s="84"/>
      <c r="T18" s="84"/>
      <c r="U18" s="66">
        <f t="shared" si="0"/>
        <v>23</v>
      </c>
      <c r="V18" s="66">
        <f t="shared" si="1"/>
        <v>1</v>
      </c>
      <c r="W18" s="78">
        <f t="shared" si="2"/>
        <v>95.833333333333343</v>
      </c>
      <c r="X18" s="84"/>
      <c r="Y18" s="84"/>
    </row>
    <row r="19" spans="1:25" s="90" customFormat="1" x14ac:dyDescent="0.35">
      <c r="A19" s="91">
        <v>18</v>
      </c>
      <c r="B19" s="84" t="s">
        <v>191</v>
      </c>
      <c r="C19" s="84" t="s">
        <v>192</v>
      </c>
      <c r="D19" s="84" t="s">
        <v>171</v>
      </c>
      <c r="E19" s="84" t="s">
        <v>147</v>
      </c>
      <c r="F19" s="84" t="s">
        <v>156</v>
      </c>
      <c r="G19" s="84" t="s">
        <v>149</v>
      </c>
      <c r="H19" s="87">
        <f>22/12*11</f>
        <v>20.166666666666664</v>
      </c>
      <c r="I19" s="84"/>
      <c r="J19" s="84"/>
      <c r="K19" s="84"/>
      <c r="L19" s="84"/>
      <c r="M19" s="84"/>
      <c r="N19" s="84">
        <v>11</v>
      </c>
      <c r="O19" s="84"/>
      <c r="P19" s="84"/>
      <c r="Q19" s="84"/>
      <c r="R19" s="84">
        <v>9</v>
      </c>
      <c r="S19" s="84"/>
      <c r="T19" s="84"/>
      <c r="U19" s="66">
        <f t="shared" si="0"/>
        <v>20</v>
      </c>
      <c r="V19" s="88">
        <f t="shared" si="1"/>
        <v>0.1666666666666643</v>
      </c>
      <c r="W19" s="78">
        <f t="shared" si="2"/>
        <v>99.173553719008282</v>
      </c>
      <c r="X19" s="84"/>
      <c r="Y19" s="84"/>
    </row>
    <row r="20" spans="1:25" s="90" customFormat="1" x14ac:dyDescent="0.35">
      <c r="A20" s="91">
        <v>19</v>
      </c>
      <c r="B20" s="84" t="s">
        <v>193</v>
      </c>
      <c r="C20" s="84" t="s">
        <v>194</v>
      </c>
      <c r="D20" s="84" t="s">
        <v>171</v>
      </c>
      <c r="E20" s="84" t="s">
        <v>147</v>
      </c>
      <c r="F20" s="84" t="s">
        <v>148</v>
      </c>
      <c r="G20" s="84" t="s">
        <v>160</v>
      </c>
      <c r="H20" s="76">
        <f t="shared" ref="H20" si="4">22*12/12</f>
        <v>22</v>
      </c>
      <c r="I20" s="84"/>
      <c r="J20" s="84"/>
      <c r="K20" s="84"/>
      <c r="L20" s="84"/>
      <c r="M20" s="84">
        <v>10</v>
      </c>
      <c r="N20" s="84"/>
      <c r="O20" s="84"/>
      <c r="P20" s="84"/>
      <c r="Q20" s="84"/>
      <c r="R20" s="84"/>
      <c r="S20" s="84">
        <v>11</v>
      </c>
      <c r="T20" s="84"/>
      <c r="U20" s="66">
        <f t="shared" si="0"/>
        <v>21</v>
      </c>
      <c r="V20" s="66">
        <f t="shared" si="1"/>
        <v>1</v>
      </c>
      <c r="W20" s="78">
        <f t="shared" si="2"/>
        <v>95.454545454545453</v>
      </c>
      <c r="X20" s="84"/>
      <c r="Y20" s="84"/>
    </row>
    <row r="21" spans="1:25" s="90" customFormat="1" x14ac:dyDescent="0.35">
      <c r="A21" s="91">
        <v>20</v>
      </c>
      <c r="B21" s="84" t="s">
        <v>195</v>
      </c>
      <c r="C21" s="84" t="s">
        <v>196</v>
      </c>
      <c r="D21" s="84" t="s">
        <v>171</v>
      </c>
      <c r="E21" s="84" t="s">
        <v>147</v>
      </c>
      <c r="F21" s="84" t="s">
        <v>148</v>
      </c>
      <c r="G21" s="84" t="s">
        <v>149</v>
      </c>
      <c r="H21" s="87">
        <f>22/12*8</f>
        <v>14.666666666666666</v>
      </c>
      <c r="I21" s="84"/>
      <c r="J21" s="84"/>
      <c r="K21" s="84"/>
      <c r="L21" s="84">
        <v>7</v>
      </c>
      <c r="M21" s="84"/>
      <c r="N21" s="84"/>
      <c r="O21" s="84"/>
      <c r="P21" s="84">
        <v>8</v>
      </c>
      <c r="Q21" s="84"/>
      <c r="R21" s="84"/>
      <c r="S21" s="84"/>
      <c r="T21" s="84"/>
      <c r="U21" s="66">
        <f t="shared" si="0"/>
        <v>15</v>
      </c>
      <c r="V21" s="88">
        <f t="shared" si="1"/>
        <v>-0.33333333333333393</v>
      </c>
      <c r="W21" s="78">
        <f t="shared" si="2"/>
        <v>102.27272727272727</v>
      </c>
      <c r="X21" s="84"/>
      <c r="Y21" s="84"/>
    </row>
    <row r="22" spans="1:25" s="90" customFormat="1" x14ac:dyDescent="0.35">
      <c r="A22" s="91">
        <v>21</v>
      </c>
      <c r="B22" s="84" t="s">
        <v>197</v>
      </c>
      <c r="C22" s="84" t="s">
        <v>198</v>
      </c>
      <c r="D22" s="84" t="s">
        <v>171</v>
      </c>
      <c r="E22" s="84" t="s">
        <v>147</v>
      </c>
      <c r="F22" s="84" t="s">
        <v>148</v>
      </c>
      <c r="G22" s="84" t="s">
        <v>149</v>
      </c>
      <c r="H22" s="87">
        <f>22/12*9</f>
        <v>16.5</v>
      </c>
      <c r="I22" s="84"/>
      <c r="J22" s="84"/>
      <c r="K22" s="84"/>
      <c r="L22" s="84"/>
      <c r="M22" s="84"/>
      <c r="N22" s="84"/>
      <c r="O22" s="84"/>
      <c r="P22" s="84"/>
      <c r="Q22" s="84">
        <v>11</v>
      </c>
      <c r="R22" s="84"/>
      <c r="S22" s="84">
        <v>5</v>
      </c>
      <c r="T22" s="84"/>
      <c r="U22" s="66">
        <f t="shared" si="0"/>
        <v>16</v>
      </c>
      <c r="V22" s="88">
        <f t="shared" si="1"/>
        <v>0.5</v>
      </c>
      <c r="W22" s="78">
        <f t="shared" si="2"/>
        <v>96.969696969696969</v>
      </c>
      <c r="X22" s="84"/>
      <c r="Y22" s="84"/>
    </row>
    <row r="23" spans="1:25" s="90" customFormat="1" x14ac:dyDescent="0.35">
      <c r="A23" s="91">
        <v>22</v>
      </c>
      <c r="B23" s="84" t="s">
        <v>199</v>
      </c>
      <c r="C23" s="84" t="s">
        <v>200</v>
      </c>
      <c r="D23" s="84" t="s">
        <v>178</v>
      </c>
      <c r="E23" s="84" t="s">
        <v>147</v>
      </c>
      <c r="F23" s="84" t="s">
        <v>148</v>
      </c>
      <c r="G23" s="84" t="s">
        <v>149</v>
      </c>
      <c r="H23" s="87">
        <f>22/12*11</f>
        <v>20.166666666666664</v>
      </c>
      <c r="I23" s="84"/>
      <c r="J23" s="84"/>
      <c r="K23" s="84"/>
      <c r="L23" s="84">
        <v>10</v>
      </c>
      <c r="M23" s="84"/>
      <c r="N23" s="84"/>
      <c r="O23" s="84"/>
      <c r="P23" s="84"/>
      <c r="Q23" s="84"/>
      <c r="R23" s="84">
        <v>10</v>
      </c>
      <c r="S23" s="84"/>
      <c r="T23" s="84"/>
      <c r="U23" s="66">
        <f t="shared" si="0"/>
        <v>20</v>
      </c>
      <c r="V23" s="88">
        <f t="shared" si="1"/>
        <v>0.1666666666666643</v>
      </c>
      <c r="W23" s="78">
        <f t="shared" si="2"/>
        <v>99.173553719008282</v>
      </c>
      <c r="X23" s="84"/>
      <c r="Y23" s="84"/>
    </row>
    <row r="24" spans="1:25" s="90" customFormat="1" x14ac:dyDescent="0.35">
      <c r="A24" s="91">
        <v>23</v>
      </c>
      <c r="B24" s="84" t="s">
        <v>201</v>
      </c>
      <c r="C24" s="84" t="s">
        <v>202</v>
      </c>
      <c r="D24" s="84" t="s">
        <v>203</v>
      </c>
      <c r="E24" s="84" t="s">
        <v>147</v>
      </c>
      <c r="F24" s="84" t="s">
        <v>148</v>
      </c>
      <c r="G24" s="84" t="s">
        <v>149</v>
      </c>
      <c r="H24" s="76">
        <f>22/12*12</f>
        <v>22</v>
      </c>
      <c r="I24" s="84"/>
      <c r="J24" s="84"/>
      <c r="K24" s="84"/>
      <c r="L24" s="84"/>
      <c r="M24" s="84"/>
      <c r="N24" s="84"/>
      <c r="O24" s="84">
        <v>5</v>
      </c>
      <c r="P24" s="84"/>
      <c r="Q24" s="84"/>
      <c r="R24" s="84"/>
      <c r="S24" s="84">
        <v>10</v>
      </c>
      <c r="T24" s="84"/>
      <c r="U24" s="66">
        <f t="shared" si="0"/>
        <v>15</v>
      </c>
      <c r="V24" s="66">
        <f t="shared" si="1"/>
        <v>7</v>
      </c>
      <c r="W24" s="78">
        <f t="shared" si="2"/>
        <v>68.181818181818173</v>
      </c>
      <c r="X24" s="84"/>
      <c r="Y24" s="84"/>
    </row>
    <row r="25" spans="1:25" s="90" customFormat="1" x14ac:dyDescent="0.35">
      <c r="A25" s="91">
        <v>24</v>
      </c>
      <c r="B25" s="84" t="s">
        <v>181</v>
      </c>
      <c r="C25" s="84" t="s">
        <v>204</v>
      </c>
      <c r="D25" s="84" t="s">
        <v>205</v>
      </c>
      <c r="E25" s="84" t="s">
        <v>147</v>
      </c>
      <c r="F25" s="84" t="s">
        <v>148</v>
      </c>
      <c r="G25" s="84" t="s">
        <v>149</v>
      </c>
      <c r="H25" s="76">
        <f>22/12*12</f>
        <v>22</v>
      </c>
      <c r="I25" s="84"/>
      <c r="J25" s="84"/>
      <c r="K25" s="84"/>
      <c r="L25" s="84"/>
      <c r="M25" s="84"/>
      <c r="N25" s="84">
        <v>10</v>
      </c>
      <c r="O25" s="84"/>
      <c r="P25" s="84">
        <v>7</v>
      </c>
      <c r="Q25" s="84"/>
      <c r="R25" s="84"/>
      <c r="S25" s="84"/>
      <c r="T25" s="84"/>
      <c r="U25" s="66">
        <f t="shared" si="0"/>
        <v>17</v>
      </c>
      <c r="V25" s="66">
        <f t="shared" si="1"/>
        <v>5</v>
      </c>
      <c r="W25" s="78">
        <f t="shared" si="2"/>
        <v>77.272727272727266</v>
      </c>
      <c r="X25" s="84"/>
      <c r="Y25" s="84"/>
    </row>
    <row r="26" spans="1:25" s="90" customFormat="1" x14ac:dyDescent="0.35">
      <c r="A26" s="91">
        <v>25</v>
      </c>
      <c r="B26" s="84" t="s">
        <v>206</v>
      </c>
      <c r="C26" s="84" t="s">
        <v>207</v>
      </c>
      <c r="D26" s="84" t="s">
        <v>171</v>
      </c>
      <c r="E26" s="84" t="s">
        <v>147</v>
      </c>
      <c r="F26" s="84" t="s">
        <v>163</v>
      </c>
      <c r="G26" s="84" t="s">
        <v>160</v>
      </c>
      <c r="H26" s="76">
        <f>22/12*12</f>
        <v>22</v>
      </c>
      <c r="I26" s="84"/>
      <c r="J26" s="84"/>
      <c r="K26" s="84"/>
      <c r="L26" s="84">
        <v>10</v>
      </c>
      <c r="M26" s="84">
        <v>3</v>
      </c>
      <c r="N26" s="84"/>
      <c r="O26" s="84"/>
      <c r="P26" s="84"/>
      <c r="Q26" s="84">
        <v>10</v>
      </c>
      <c r="R26" s="84"/>
      <c r="S26" s="84"/>
      <c r="T26" s="84"/>
      <c r="U26" s="66">
        <f t="shared" si="0"/>
        <v>23</v>
      </c>
      <c r="V26" s="66">
        <f t="shared" si="1"/>
        <v>-1</v>
      </c>
      <c r="W26" s="78">
        <f t="shared" si="2"/>
        <v>104.54545454545455</v>
      </c>
      <c r="X26" s="84"/>
      <c r="Y26" s="84"/>
    </row>
    <row r="27" spans="1:25" s="90" customFormat="1" x14ac:dyDescent="0.35">
      <c r="A27" s="91">
        <v>26</v>
      </c>
      <c r="B27" s="84" t="s">
        <v>208</v>
      </c>
      <c r="C27" s="84" t="s">
        <v>209</v>
      </c>
      <c r="D27" s="84" t="s">
        <v>171</v>
      </c>
      <c r="E27" s="84" t="s">
        <v>147</v>
      </c>
      <c r="F27" s="84" t="s">
        <v>210</v>
      </c>
      <c r="G27" s="84" t="s">
        <v>160</v>
      </c>
      <c r="H27" s="76">
        <f>22/12*6</f>
        <v>11</v>
      </c>
      <c r="I27" s="84"/>
      <c r="J27" s="84"/>
      <c r="K27" s="84"/>
      <c r="L27" s="84">
        <v>2</v>
      </c>
      <c r="M27" s="84">
        <v>5</v>
      </c>
      <c r="N27" s="84">
        <v>4</v>
      </c>
      <c r="O27" s="84"/>
      <c r="P27" s="84"/>
      <c r="Q27" s="84"/>
      <c r="R27" s="84"/>
      <c r="S27" s="84"/>
      <c r="T27" s="84"/>
      <c r="U27" s="66">
        <f t="shared" si="0"/>
        <v>11</v>
      </c>
      <c r="V27" s="98">
        <f t="shared" si="1"/>
        <v>0</v>
      </c>
      <c r="W27" s="97">
        <f t="shared" si="2"/>
        <v>100</v>
      </c>
      <c r="X27" s="84"/>
      <c r="Y27" s="84"/>
    </row>
    <row r="28" spans="1:25" s="90" customFormat="1" x14ac:dyDescent="0.35">
      <c r="A28" s="91">
        <v>27</v>
      </c>
      <c r="B28" s="84" t="s">
        <v>206</v>
      </c>
      <c r="C28" s="84" t="s">
        <v>211</v>
      </c>
      <c r="D28" s="84" t="s">
        <v>171</v>
      </c>
      <c r="E28" s="84" t="s">
        <v>147</v>
      </c>
      <c r="F28" s="84" t="s">
        <v>156</v>
      </c>
      <c r="G28" s="84" t="s">
        <v>160</v>
      </c>
      <c r="H28" s="76">
        <f>22/12*12</f>
        <v>22</v>
      </c>
      <c r="I28" s="84"/>
      <c r="J28" s="84"/>
      <c r="K28" s="84"/>
      <c r="L28" s="84"/>
      <c r="M28" s="84"/>
      <c r="N28" s="84"/>
      <c r="O28" s="84"/>
      <c r="P28" s="84">
        <v>7</v>
      </c>
      <c r="Q28" s="84"/>
      <c r="R28" s="84"/>
      <c r="S28" s="84">
        <v>10</v>
      </c>
      <c r="T28" s="84"/>
      <c r="U28" s="66">
        <f t="shared" si="0"/>
        <v>17</v>
      </c>
      <c r="V28" s="66">
        <f t="shared" si="1"/>
        <v>5</v>
      </c>
      <c r="W28" s="78">
        <f t="shared" si="2"/>
        <v>77.272727272727266</v>
      </c>
      <c r="X28" s="84"/>
      <c r="Y28" s="84"/>
    </row>
    <row r="29" spans="1:25" x14ac:dyDescent="0.35">
      <c r="A29" s="99"/>
      <c r="B29" s="100"/>
      <c r="C29" s="100"/>
      <c r="D29" s="100"/>
      <c r="E29" s="100"/>
      <c r="F29" s="100"/>
      <c r="G29" s="100"/>
      <c r="H29" s="101">
        <f>SUM(H2:H28)</f>
        <v>501.66666666666674</v>
      </c>
      <c r="I29" s="100"/>
      <c r="J29" s="100"/>
      <c r="K29" s="100"/>
      <c r="L29" s="100"/>
      <c r="M29" s="100"/>
      <c r="N29" s="100"/>
      <c r="O29" s="100"/>
      <c r="P29" s="100"/>
      <c r="Q29" s="100"/>
      <c r="R29" s="100"/>
      <c r="S29" s="100"/>
      <c r="T29" s="100"/>
      <c r="U29" s="102">
        <f>SUM(U2:U28)</f>
        <v>456</v>
      </c>
      <c r="V29" s="101">
        <f>SUM(V2:V28)</f>
        <v>45.666666666666643</v>
      </c>
      <c r="W29" s="103">
        <f>U29/H29</f>
        <v>0.90897009966777398</v>
      </c>
      <c r="X29" s="100"/>
      <c r="Y29" s="100"/>
    </row>
  </sheetData>
  <conditionalFormatting sqref="X2:X3">
    <cfRule type="dataBar" priority="1">
      <dataBar>
        <cfvo type="min"/>
        <cfvo type="max"/>
        <color rgb="FFFF555A"/>
      </dataBar>
      <extLst>
        <ext xmlns:x14="http://schemas.microsoft.com/office/spreadsheetml/2009/9/main" uri="{B025F937-C7B1-47D3-B67F-A62EFF666E3E}">
          <x14:id>{A78942D3-035C-4A75-864B-39F801FFB715}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78942D3-035C-4A75-864B-39F801FFB715}">
            <x14:dataBar minLength="0" maxLength="100" border="1" negativeBarBorderColorSameAsPositive="0">
              <x14:cfvo type="autoMin"/>
              <x14:cfvo type="autoMax"/>
              <x14:borderColor rgb="FFFF555A"/>
              <x14:negativeFillColor rgb="FFFF0000"/>
              <x14:negativeBorderColor rgb="FFFF0000"/>
              <x14:axisColor rgb="FF000000"/>
            </x14:dataBar>
          </x14:cfRule>
          <xm:sqref>X2:X3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P35"/>
  <sheetViews>
    <sheetView tabSelected="1" zoomScale="60" zoomScaleNormal="60" workbookViewId="0">
      <selection activeCell="C12" sqref="C12"/>
    </sheetView>
  </sheetViews>
  <sheetFormatPr defaultColWidth="20.81640625" defaultRowHeight="14.5" x14ac:dyDescent="0.35"/>
  <cols>
    <col min="10" max="10" width="24.26953125" customWidth="1"/>
    <col min="11" max="41" width="7.1796875" style="41" customWidth="1"/>
  </cols>
  <sheetData>
    <row r="2" spans="1:42" x14ac:dyDescent="0.35">
      <c r="A2" t="s">
        <v>214</v>
      </c>
      <c r="B2" t="s">
        <v>215</v>
      </c>
      <c r="C2" t="s">
        <v>216</v>
      </c>
      <c r="D2" t="s">
        <v>217</v>
      </c>
      <c r="E2" t="s">
        <v>218</v>
      </c>
      <c r="F2" t="s">
        <v>219</v>
      </c>
      <c r="H2" t="s">
        <v>220</v>
      </c>
      <c r="I2" t="s">
        <v>221</v>
      </c>
      <c r="J2" t="s">
        <v>222</v>
      </c>
      <c r="K2" s="41">
        <v>1</v>
      </c>
      <c r="L2" s="41">
        <v>2</v>
      </c>
      <c r="M2" s="41">
        <v>3</v>
      </c>
      <c r="N2" s="41">
        <v>4</v>
      </c>
      <c r="O2" s="41">
        <v>5</v>
      </c>
      <c r="P2" s="41">
        <v>6</v>
      </c>
      <c r="Q2" s="41">
        <v>7</v>
      </c>
      <c r="R2" s="41">
        <v>8</v>
      </c>
      <c r="S2" s="41">
        <v>9</v>
      </c>
      <c r="T2" s="41">
        <v>10</v>
      </c>
      <c r="U2" s="41">
        <v>11</v>
      </c>
      <c r="V2" s="41">
        <v>12</v>
      </c>
      <c r="W2" s="41">
        <v>13</v>
      </c>
      <c r="X2" s="41">
        <v>14</v>
      </c>
      <c r="Y2" s="41">
        <v>15</v>
      </c>
      <c r="Z2" s="41">
        <v>16</v>
      </c>
      <c r="AA2" s="41">
        <v>17</v>
      </c>
      <c r="AB2" s="41">
        <v>18</v>
      </c>
      <c r="AC2" s="41">
        <v>19</v>
      </c>
      <c r="AD2" s="41">
        <v>20</v>
      </c>
      <c r="AE2" s="41">
        <v>21</v>
      </c>
      <c r="AF2" s="41">
        <v>22</v>
      </c>
      <c r="AG2" s="41">
        <v>23</v>
      </c>
      <c r="AH2" s="41">
        <v>24</v>
      </c>
      <c r="AI2" s="41">
        <v>25</v>
      </c>
      <c r="AJ2" s="41">
        <v>26</v>
      </c>
      <c r="AK2" s="41">
        <v>27</v>
      </c>
      <c r="AL2" s="41">
        <v>28</v>
      </c>
      <c r="AM2" s="41">
        <v>29</v>
      </c>
      <c r="AN2" s="41">
        <v>30</v>
      </c>
      <c r="AO2" s="41">
        <v>31</v>
      </c>
      <c r="AP2" t="s">
        <v>236</v>
      </c>
    </row>
    <row r="3" spans="1:42" x14ac:dyDescent="0.35">
      <c r="H3" s="40" t="s">
        <v>223</v>
      </c>
    </row>
    <row r="4" spans="1:42" x14ac:dyDescent="0.35">
      <c r="H4" s="105">
        <v>1</v>
      </c>
      <c r="J4" s="105">
        <v>0</v>
      </c>
      <c r="L4" s="41">
        <v>8</v>
      </c>
      <c r="M4" s="41">
        <v>8</v>
      </c>
      <c r="N4" s="41">
        <v>8</v>
      </c>
      <c r="O4" s="41">
        <v>8</v>
      </c>
      <c r="P4" s="41">
        <v>8</v>
      </c>
      <c r="S4" s="41">
        <v>8</v>
      </c>
      <c r="T4" s="41">
        <v>8</v>
      </c>
      <c r="U4" s="41">
        <v>8</v>
      </c>
      <c r="V4" s="41">
        <v>8</v>
      </c>
      <c r="W4" s="41">
        <v>8</v>
      </c>
      <c r="Z4" s="41">
        <v>8</v>
      </c>
      <c r="AA4" s="41">
        <v>8</v>
      </c>
      <c r="AB4" s="41">
        <v>8</v>
      </c>
      <c r="AC4" s="41">
        <v>8</v>
      </c>
      <c r="AG4" s="41">
        <v>8</v>
      </c>
      <c r="AH4" s="41">
        <v>8</v>
      </c>
      <c r="AI4" s="41">
        <v>8</v>
      </c>
      <c r="AJ4" s="41">
        <v>8</v>
      </c>
      <c r="AK4" s="41">
        <v>8</v>
      </c>
      <c r="AN4" s="41">
        <v>8</v>
      </c>
      <c r="AO4" s="41">
        <v>8</v>
      </c>
    </row>
    <row r="5" spans="1:42" x14ac:dyDescent="0.35">
      <c r="H5" s="105">
        <v>0</v>
      </c>
      <c r="J5" s="105">
        <v>0</v>
      </c>
    </row>
    <row r="6" spans="1:42" x14ac:dyDescent="0.35">
      <c r="H6" s="105">
        <v>0</v>
      </c>
      <c r="J6" s="105">
        <v>0</v>
      </c>
    </row>
    <row r="7" spans="1:42" x14ac:dyDescent="0.35">
      <c r="H7" s="105">
        <v>0</v>
      </c>
      <c r="J7" s="105">
        <v>0</v>
      </c>
    </row>
    <row r="8" spans="1:42" x14ac:dyDescent="0.35">
      <c r="H8" s="105">
        <v>0</v>
      </c>
      <c r="J8" s="105">
        <v>0</v>
      </c>
    </row>
    <row r="9" spans="1:42" x14ac:dyDescent="0.35">
      <c r="H9" s="105">
        <v>0</v>
      </c>
      <c r="J9" s="105">
        <v>0</v>
      </c>
    </row>
    <row r="10" spans="1:42" x14ac:dyDescent="0.35">
      <c r="H10" s="105">
        <v>0</v>
      </c>
      <c r="J10" s="105">
        <v>0</v>
      </c>
    </row>
    <row r="11" spans="1:42" x14ac:dyDescent="0.35">
      <c r="H11" s="105">
        <v>0</v>
      </c>
      <c r="J11" s="105">
        <v>0</v>
      </c>
    </row>
    <row r="12" spans="1:42" x14ac:dyDescent="0.35">
      <c r="H12" s="105">
        <v>0</v>
      </c>
      <c r="J12" s="105">
        <v>0</v>
      </c>
    </row>
    <row r="13" spans="1:42" x14ac:dyDescent="0.35">
      <c r="H13" s="105">
        <v>0</v>
      </c>
      <c r="J13" s="105">
        <v>0</v>
      </c>
    </row>
    <row r="14" spans="1:42" x14ac:dyDescent="0.35">
      <c r="H14" s="105">
        <v>0</v>
      </c>
      <c r="J14" s="105">
        <v>0</v>
      </c>
    </row>
    <row r="15" spans="1:42" x14ac:dyDescent="0.35">
      <c r="H15" s="105">
        <v>0</v>
      </c>
      <c r="J15" s="105">
        <v>0</v>
      </c>
    </row>
    <row r="16" spans="1:42" x14ac:dyDescent="0.35">
      <c r="H16" s="105">
        <v>0</v>
      </c>
      <c r="J16" s="105">
        <v>0</v>
      </c>
    </row>
    <row r="17" spans="8:41" x14ac:dyDescent="0.35">
      <c r="H17" s="105">
        <v>0</v>
      </c>
      <c r="J17" s="105">
        <v>0</v>
      </c>
    </row>
    <row r="18" spans="8:41" x14ac:dyDescent="0.35">
      <c r="H18" s="105">
        <v>0</v>
      </c>
      <c r="J18" s="105">
        <v>0</v>
      </c>
    </row>
    <row r="19" spans="8:41" x14ac:dyDescent="0.35">
      <c r="H19" s="105">
        <v>0</v>
      </c>
      <c r="J19" s="105">
        <v>0</v>
      </c>
    </row>
    <row r="20" spans="8:41" x14ac:dyDescent="0.35">
      <c r="H20" s="105">
        <v>0</v>
      </c>
      <c r="J20" s="105">
        <v>0</v>
      </c>
    </row>
    <row r="21" spans="8:41" x14ac:dyDescent="0.35">
      <c r="H21" s="106">
        <v>1</v>
      </c>
      <c r="I21" t="s">
        <v>235</v>
      </c>
      <c r="J21" s="105">
        <v>0</v>
      </c>
      <c r="L21" s="41">
        <v>8</v>
      </c>
      <c r="M21" s="41">
        <v>8</v>
      </c>
      <c r="N21" s="41">
        <v>8</v>
      </c>
      <c r="O21" s="41">
        <v>8</v>
      </c>
      <c r="P21" s="41">
        <v>8</v>
      </c>
      <c r="R21" s="41">
        <v>8</v>
      </c>
      <c r="S21" s="41">
        <v>8</v>
      </c>
      <c r="T21" s="41">
        <v>8</v>
      </c>
      <c r="U21" s="41">
        <v>8</v>
      </c>
      <c r="V21" s="41">
        <v>8</v>
      </c>
      <c r="W21" s="41">
        <v>8</v>
      </c>
      <c r="Z21" s="41">
        <v>8</v>
      </c>
      <c r="AA21" s="41">
        <v>8</v>
      </c>
      <c r="AB21" s="41">
        <v>8</v>
      </c>
      <c r="AC21" s="41">
        <v>8</v>
      </c>
      <c r="AG21" s="41">
        <v>8</v>
      </c>
      <c r="AH21" s="41">
        <v>8</v>
      </c>
      <c r="AI21" s="41">
        <v>8</v>
      </c>
      <c r="AJ21" s="41">
        <v>8</v>
      </c>
      <c r="AK21" s="41">
        <v>8</v>
      </c>
      <c r="AN21" s="41">
        <v>8</v>
      </c>
      <c r="AO21" s="41">
        <v>8</v>
      </c>
    </row>
    <row r="22" spans="8:41" x14ac:dyDescent="0.35">
      <c r="H22" t="s">
        <v>224</v>
      </c>
      <c r="J22" s="105">
        <v>0</v>
      </c>
    </row>
    <row r="24" spans="8:41" x14ac:dyDescent="0.35">
      <c r="H24" t="s">
        <v>225</v>
      </c>
    </row>
    <row r="25" spans="8:41" x14ac:dyDescent="0.35">
      <c r="H25" s="105">
        <v>0</v>
      </c>
      <c r="I25" t="s">
        <v>226</v>
      </c>
      <c r="J25">
        <v>0</v>
      </c>
    </row>
    <row r="26" spans="8:41" x14ac:dyDescent="0.35">
      <c r="H26" s="105">
        <v>0</v>
      </c>
      <c r="I26" t="s">
        <v>227</v>
      </c>
      <c r="J26">
        <v>0</v>
      </c>
    </row>
    <row r="27" spans="8:41" x14ac:dyDescent="0.35">
      <c r="H27" s="105">
        <v>0</v>
      </c>
      <c r="I27" t="s">
        <v>228</v>
      </c>
      <c r="J27">
        <v>0</v>
      </c>
    </row>
    <row r="28" spans="8:41" x14ac:dyDescent="0.35">
      <c r="H28" s="105">
        <v>0</v>
      </c>
      <c r="I28" t="s">
        <v>229</v>
      </c>
      <c r="J28">
        <v>0</v>
      </c>
    </row>
    <row r="29" spans="8:41" x14ac:dyDescent="0.35">
      <c r="H29" s="105">
        <v>0</v>
      </c>
      <c r="I29" t="s">
        <v>230</v>
      </c>
      <c r="J29">
        <v>0</v>
      </c>
    </row>
    <row r="30" spans="8:41" x14ac:dyDescent="0.35">
      <c r="H30" s="105">
        <v>0</v>
      </c>
      <c r="I30" t="s">
        <v>231</v>
      </c>
      <c r="J30">
        <v>0</v>
      </c>
    </row>
    <row r="31" spans="8:41" x14ac:dyDescent="0.35">
      <c r="H31" s="105">
        <v>0</v>
      </c>
      <c r="I31" t="s">
        <v>232</v>
      </c>
      <c r="J31">
        <v>0</v>
      </c>
    </row>
    <row r="32" spans="8:41" x14ac:dyDescent="0.35">
      <c r="H32" t="s">
        <v>233</v>
      </c>
      <c r="J32">
        <v>0</v>
      </c>
    </row>
    <row r="35" spans="8:41" x14ac:dyDescent="0.35">
      <c r="H35" t="s">
        <v>234</v>
      </c>
      <c r="J35">
        <v>0</v>
      </c>
      <c r="L35" s="41">
        <v>8</v>
      </c>
      <c r="M35" s="41">
        <v>8</v>
      </c>
      <c r="N35" s="41">
        <v>8</v>
      </c>
      <c r="O35" s="41">
        <v>8</v>
      </c>
      <c r="P35" s="41">
        <v>8</v>
      </c>
      <c r="R35" s="41">
        <v>8</v>
      </c>
      <c r="S35" s="41">
        <v>8</v>
      </c>
      <c r="T35" s="41">
        <v>8</v>
      </c>
      <c r="U35" s="41">
        <v>8</v>
      </c>
      <c r="V35" s="41">
        <v>8</v>
      </c>
      <c r="W35" s="41">
        <v>8</v>
      </c>
      <c r="Z35" s="41">
        <v>8</v>
      </c>
      <c r="AA35" s="41">
        <v>8</v>
      </c>
      <c r="AB35" s="41">
        <v>8</v>
      </c>
      <c r="AC35" s="41">
        <v>8</v>
      </c>
      <c r="AG35" s="41">
        <v>8</v>
      </c>
      <c r="AH35" s="41">
        <v>8</v>
      </c>
      <c r="AI35" s="41">
        <v>8</v>
      </c>
      <c r="AJ35" s="41">
        <v>8</v>
      </c>
      <c r="AK35" s="41">
        <v>8</v>
      </c>
      <c r="AN35" s="41">
        <v>8</v>
      </c>
      <c r="AO35" s="41">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APPOINTMENT LETTER TEMPLATES</vt:lpstr>
      <vt:lpstr>CONTRACT RENEWAL </vt:lpstr>
      <vt:lpstr>SERVICE CONTRACT </vt:lpstr>
      <vt:lpstr>CONTRACT EXTENSION</vt:lpstr>
      <vt:lpstr>NOTICE OF CONTRACT COMPLETION</vt:lpstr>
      <vt:lpstr>LETTER OF UNDERTAKING </vt:lpstr>
      <vt:lpstr>LEAVE APPLICATION FORM</vt:lpstr>
      <vt:lpstr>LEAVE TRACKER </vt:lpstr>
      <vt:lpstr>TIME SHEET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2026-04-27T11:53:41Z</dcterms:modified>
</cp:coreProperties>
</file>